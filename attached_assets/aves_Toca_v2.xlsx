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ilha1" sheetId="1" r:id="rId4"/>
  </sheets>
  <definedNames/>
  <calcPr/>
  <extLst>
    <ext uri="GoogleSheetsCustomDataVersion2">
      <go:sheetsCustomData xmlns:go="http://customooxmlschemas.google.com/" r:id="rId5" roundtripDataChecksum="YwVF+tXl7mR/aR1HrcBngG9+uIl/731MjaVMCUJ2NTM="/>
    </ext>
  </extLst>
</workbook>
</file>

<file path=xl/sharedStrings.xml><?xml version="1.0" encoding="utf-8"?>
<sst xmlns="http://schemas.openxmlformats.org/spreadsheetml/2006/main" count="569" uniqueCount="330">
  <si>
    <t>Espécie</t>
  </si>
  <si>
    <t>link</t>
  </si>
  <si>
    <t>wikipedia</t>
  </si>
  <si>
    <t>Nome Comum</t>
  </si>
  <si>
    <t>Estado de conservação</t>
  </si>
  <si>
    <t>Alimentação</t>
  </si>
  <si>
    <t>Espécie endêmica da Mata Atlântica</t>
  </si>
  <si>
    <t>Dimorfismo sexual</t>
  </si>
  <si>
    <t>Extract 1</t>
  </si>
  <si>
    <t>Chlorophanes spiza</t>
  </si>
  <si>
    <t>https://www.wikiaves.com.br/sai-verde</t>
  </si>
  <si>
    <t>https://pt.wikipedia.org/wiki/Chlorophanes_spiza</t>
  </si>
  <si>
    <t>Saí-verde</t>
  </si>
  <si>
    <t>Pouco Preocupante</t>
  </si>
  <si>
    <t>Frutos, insetos e do néctar de flores</t>
  </si>
  <si>
    <t>Não</t>
  </si>
  <si>
    <t>Sim</t>
  </si>
  <si>
    <t>Dacnis cayana</t>
  </si>
  <si>
    <t>https://www.wikiaves.com.br/sai-azul</t>
  </si>
  <si>
    <t>https://pt.wikipedia.org/wiki/Dacnis_cayana</t>
  </si>
  <si>
    <t>Saí-azul</t>
  </si>
  <si>
    <t>Tangara seledon</t>
  </si>
  <si>
    <t>https://www.wikiaves.com.br/saira-sete-cores</t>
  </si>
  <si>
    <t>https://pt.wikipedia.org/wiki/Sa%C3%ADra-sete-cores</t>
  </si>
  <si>
    <t>Saíra-sete-cores</t>
  </si>
  <si>
    <t>Frutos e insetos</t>
  </si>
  <si>
    <t>Attila rufus</t>
  </si>
  <si>
    <t>https://www.wikiaves.com.br/capitao-de-saira</t>
  </si>
  <si>
    <t>https://pt.wikipedia.org/wiki/Capit%C3%A3o-de-sa%C3%ADra</t>
  </si>
  <si>
    <t>Capitão-de-saíra</t>
  </si>
  <si>
    <t>Frutos, insetos e anfíbios</t>
  </si>
  <si>
    <t>Tangara cyanocephala</t>
  </si>
  <si>
    <t>https://www.wikiaves.com.br/saira-militar</t>
  </si>
  <si>
    <t>https://pt.wikipedia.org/wiki/Tangara_cyanocephala</t>
  </si>
  <si>
    <t>Saíra-militar</t>
  </si>
  <si>
    <t>Thraupis palmarum</t>
  </si>
  <si>
    <t>https://www.wikiaves.com.br/sanhaco-do-coqueiro</t>
  </si>
  <si>
    <t>https://pt.wikipedia.org/wiki/Sanha%C3%A7u-verde</t>
  </si>
  <si>
    <t>Sanhaço-do-coqueiro</t>
  </si>
  <si>
    <t>Thraupis ornata</t>
  </si>
  <si>
    <t>https://www.wikiaves.com.br/sanhaco-de-encontro-amarelo</t>
  </si>
  <si>
    <t>https://pt.wikipedia.org/wiki/Sanha%C3%A7o-rei</t>
  </si>
  <si>
    <t>Sanhaço-de-encontro-amarelo</t>
  </si>
  <si>
    <t>Thraupis cyanoptera</t>
  </si>
  <si>
    <t>https://www.wikiaves.com.br/wiki/sanhaco-de-encontro-azul</t>
  </si>
  <si>
    <t>https://pt.wikipedia.org/wiki/Sanha%C3%A7u-de-encontro-azul</t>
  </si>
  <si>
    <t>Sanhaço-de-encontro-azul</t>
  </si>
  <si>
    <t>Quase ameaçada</t>
  </si>
  <si>
    <t>Frutas, sementes, insetos, larvas e aranhas</t>
  </si>
  <si>
    <t>Thraupis sayaca</t>
  </si>
  <si>
    <t>https://www.wikiaves.com.br/sanhaco-cinzento</t>
  </si>
  <si>
    <t>https://pt.wikipedia.org/wiki/Sanha%C3%A7o-cinzento</t>
  </si>
  <si>
    <t>Sanhaço-cinzento</t>
  </si>
  <si>
    <t>Frutas e insetos</t>
  </si>
  <si>
    <t>Euphonia pectoralis</t>
  </si>
  <si>
    <t>https://www.wikiaves.com.br/wiki/ferro-velho</t>
  </si>
  <si>
    <t>https://pt.wikipedia.org/wiki/Ferro-velho_(p%C3%A1ssaro)</t>
  </si>
  <si>
    <t>Ferro-velho</t>
  </si>
  <si>
    <t>Ramphocelus bresilia</t>
  </si>
  <si>
    <t>https://www.wikiaves.com.br/wiki/tie-sangue</t>
  </si>
  <si>
    <t>https://pt.wikipedia.org/wiki/Ti%C3%AA-sangue</t>
  </si>
  <si>
    <t>Tiê-sangue</t>
  </si>
  <si>
    <t>Tachyphonus coronatus</t>
  </si>
  <si>
    <t>https://www.wikiaves.com.br/wiki/tie-preto</t>
  </si>
  <si>
    <t>https://pt.wikipedia.org/wiki/Ti%C3%AA-preto</t>
  </si>
  <si>
    <t>Tiê-preto</t>
  </si>
  <si>
    <t>Habia rubica</t>
  </si>
  <si>
    <t>https://www.wikiaves.com.br/wiki/tie-de-bando</t>
  </si>
  <si>
    <t>https://pt.wikipedia.org/wiki/Ti%C3%AA-de-bando</t>
  </si>
  <si>
    <t>Tiê-de-bando</t>
  </si>
  <si>
    <t>Frutas, insetos e aranhas</t>
  </si>
  <si>
    <t>Trichothraupis melanops</t>
  </si>
  <si>
    <t>https://www.wikiaves.com.br/wiki/tie-de-topete</t>
  </si>
  <si>
    <t>https://pt.wikipedia.org/wiki/Ti%C3%AA-de-topete</t>
  </si>
  <si>
    <t>Tiê-de-topete</t>
  </si>
  <si>
    <t>Orthogonys chloricterus</t>
  </si>
  <si>
    <t>https://www.wikiaves.com.br/wiki/catirumbava</t>
  </si>
  <si>
    <t>https://pt.wikipedia.org/wiki/Catirumbava</t>
  </si>
  <si>
    <t>Catirumbava</t>
  </si>
  <si>
    <t>Turdus rufiventris</t>
  </si>
  <si>
    <t>https://www.wikiaves.com.br/wiki/sabia-laranjeira</t>
  </si>
  <si>
    <t>https://pt.wikipedia.org/wiki/Sabi%C3%A1-laranjeira</t>
  </si>
  <si>
    <t>Sabiá-laranjeira</t>
  </si>
  <si>
    <t>Frutas, insetos e minhocas</t>
  </si>
  <si>
    <t>Turdus flavipes</t>
  </si>
  <si>
    <t>https://www.wikiaves.com.br/wiki/sabia-una</t>
  </si>
  <si>
    <t>https://pt.wikipedia.org/wiki/Turdus_flavipes</t>
  </si>
  <si>
    <t>Sabiá-una</t>
  </si>
  <si>
    <t>Turdus albicollis</t>
  </si>
  <si>
    <t>https://www.wikiaves.com.br/wiki/sabia-coleira</t>
  </si>
  <si>
    <t>https://pt.wikipedia.org/wiki/Sabi%C3%A1-coleira</t>
  </si>
  <si>
    <t>Sabiá-coleira</t>
  </si>
  <si>
    <t>Frutas e formigas</t>
  </si>
  <si>
    <t>Turdus amaurochalinus</t>
  </si>
  <si>
    <t>https://www.wikiaves.com.br/wiki/sabia-poca</t>
  </si>
  <si>
    <t>https://pt.wikipedia.org/wiki/Sabi%C3%A1-poca</t>
  </si>
  <si>
    <t>Sabiá-poca</t>
  </si>
  <si>
    <t>Turdus leucomelas</t>
  </si>
  <si>
    <t>https://www.wikiaves.com.br/wiki/sabia-barranco</t>
  </si>
  <si>
    <t>https://pt.wikipedia.org/wiki/Sabi%C3%A1-barranco</t>
  </si>
  <si>
    <t>Sabiá-barranco</t>
  </si>
  <si>
    <t>Frutas, minhocas e artrópodes</t>
  </si>
  <si>
    <t>Chiroxiphia caudata</t>
  </si>
  <si>
    <t>https://www.wikiaves.com.br/wiki/tangara</t>
  </si>
  <si>
    <t>https://pt.wikipedia.org/wiki/Tangar%C3%A1_(ave)</t>
  </si>
  <si>
    <t>Tangará</t>
  </si>
  <si>
    <t>Frutas e artrópodes</t>
  </si>
  <si>
    <t>Cyanophonia cyanocephala</t>
  </si>
  <si>
    <t>https://www.wikiaves.com.br/wiki/gaturamo-rei</t>
  </si>
  <si>
    <t>https://pt.wikipedia.org/wiki/Gaturamo-rei</t>
  </si>
  <si>
    <t>Gaturamo-rei</t>
  </si>
  <si>
    <t>Frutas</t>
  </si>
  <si>
    <t>Piaya cayana</t>
  </si>
  <si>
    <t>https://www.wikiaves.com.br/wiki/alma-de-gato</t>
  </si>
  <si>
    <t>https://pt.wikipedia.org/wiki/Alma-de-gato</t>
  </si>
  <si>
    <t>Alma-de-gato</t>
  </si>
  <si>
    <t>Lagartas, ovos, pererecas</t>
  </si>
  <si>
    <t>Trogon surrucura</t>
  </si>
  <si>
    <t>https://www.wikiaves.com.br/wiki/surucua-variado</t>
  </si>
  <si>
    <t>https://pt.wikipedia.org/wiki/Surucu%C3%A1-variado</t>
  </si>
  <si>
    <t>Surucuá-variado</t>
  </si>
  <si>
    <t>Frutas, insetos e moluscos</t>
  </si>
  <si>
    <t>Trogon viridis</t>
  </si>
  <si>
    <t>https://www.wikiaves.com.br/wiki/surucua-de-barriga-amarela</t>
  </si>
  <si>
    <t>https://pt.wikipedia.org/wiki/Trogon_viridis</t>
  </si>
  <si>
    <t>Surucuá-de-barriga-amarela</t>
  </si>
  <si>
    <t>Frutas, insetos e outros artrópodes</t>
  </si>
  <si>
    <t>Pyrrhura frontalis</t>
  </si>
  <si>
    <t>https://www.wikiaves.com.br/wiki/tiriba-de-testa-vermelha</t>
  </si>
  <si>
    <t>https://pt.wikipedia.org/wiki/Tiriba-de-testa-vermelha</t>
  </si>
  <si>
    <t>Tiriba-de-testa-vermelha</t>
  </si>
  <si>
    <t>Brotogeris tirica</t>
  </si>
  <si>
    <t>https://www.wikiaves.com.br/wiki/periquito-rico</t>
  </si>
  <si>
    <t>https://pt.wikipedia.org/wiki/Periquito-verde</t>
  </si>
  <si>
    <t>Periquito-rico</t>
  </si>
  <si>
    <t>Amazona farinosa</t>
  </si>
  <si>
    <t>https://www.wikiaves.com.br/wiki/papagaio-moleiro</t>
  </si>
  <si>
    <t>https://pt.wikipedia.org/wiki/Papagaio-moleiro</t>
  </si>
  <si>
    <t>Papagaio-moleiro</t>
  </si>
  <si>
    <t>Sicalis flaveola</t>
  </si>
  <si>
    <t>https://www.wikiaves.com.br/wiki/canario-da-terra</t>
  </si>
  <si>
    <t>https://pt.wikipedia.org/wiki/Can%C3%A1rio-da-terra-verdadeiro</t>
  </si>
  <si>
    <t>Canário-da-terra</t>
  </si>
  <si>
    <t>Sementes</t>
  </si>
  <si>
    <t>Estrilda astrild</t>
  </si>
  <si>
    <t>https://www.wikiaves.com.br/wiki/bico-de-lacre</t>
  </si>
  <si>
    <t>https://pt.wikipedia.org/wiki/Bico-de-lacre-comum</t>
  </si>
  <si>
    <t>Bico de lacre</t>
  </si>
  <si>
    <t>Não (exótica)</t>
  </si>
  <si>
    <t>Pitangus sulphuratus</t>
  </si>
  <si>
    <t>https://www.wikiaves.com.br/wiki/bem-te-vi</t>
  </si>
  <si>
    <t>https://pt.wikipedia.org/wiki/Bem-te-vi</t>
  </si>
  <si>
    <t>Bem-te-vi</t>
  </si>
  <si>
    <t>Insetos, frutos, filhote de aves e de pequenos mamíferos.</t>
  </si>
  <si>
    <t>Legatus leucophaius</t>
  </si>
  <si>
    <t>https://www.wikiaves.com.br/wiki/bem-te-vi-pirata</t>
  </si>
  <si>
    <t>https://pt.wikipedia.org/wiki/Legatus_leucophaius</t>
  </si>
  <si>
    <t>Bem-te-vi-pirata</t>
  </si>
  <si>
    <t>Myiozetetes similis</t>
  </si>
  <si>
    <t>https://www.wikiaves.com.br/wiki/bentevizinho-de-penacho-vermelho</t>
  </si>
  <si>
    <t>https://pt.wikipedia.org/wiki/Bentevizinho-de-penacho-vermelho</t>
  </si>
  <si>
    <t>Bentevizinho-de-penacho-vermelho</t>
  </si>
  <si>
    <t>Tyrannus melancholicus</t>
  </si>
  <si>
    <t>https://www.wikiaves.com.br/wiki/suiriri</t>
  </si>
  <si>
    <t>https://pt.wikipedia.org/wiki/Suiriri</t>
  </si>
  <si>
    <t>Suiriri</t>
  </si>
  <si>
    <t>Coereba flaveola</t>
  </si>
  <si>
    <t>https://www.wikiaves.com.br/wiki/cambacica</t>
  </si>
  <si>
    <t>https://pt.wikipedia.org/wiki/Cambacica</t>
  </si>
  <si>
    <t>Cambacica</t>
  </si>
  <si>
    <t>Néctar, frutas e artrópodes</t>
  </si>
  <si>
    <t>Colonia colonus</t>
  </si>
  <si>
    <t>https://www.wikiaves.com.br/wiki/viuvinha</t>
  </si>
  <si>
    <t>https://pt.wikipedia.org/wiki/Maria-viuvinha</t>
  </si>
  <si>
    <t>Viuvinha</t>
  </si>
  <si>
    <t>Pequenos artrópodes</t>
  </si>
  <si>
    <t>Zonotrichia capensis</t>
  </si>
  <si>
    <t>https://www.wikiaves.com.br/tico-tico</t>
  </si>
  <si>
    <t>https://pt.wikipedia.org/wiki/Tico-tico</t>
  </si>
  <si>
    <t>Tico-tico</t>
  </si>
  <si>
    <t>Sementes, frutas e insetos</t>
  </si>
  <si>
    <t>Herpsilochmus rufimarginatus</t>
  </si>
  <si>
    <t>https://www.wikiaves.com.br/wiki/chorozinho-de-asa-vermelha</t>
  </si>
  <si>
    <t>https://pt.wikipedia.org/wiki/Chorozinho-de-asa-vermelha</t>
  </si>
  <si>
    <t>Chorozinho-de-asa-vermelha</t>
  </si>
  <si>
    <t>Campephilus robustus</t>
  </si>
  <si>
    <t>https://www.wikiaves.com.br/pica-pau-rei</t>
  </si>
  <si>
    <t>https://pt.wikipedia.org/wiki/Pica-pau-rei</t>
  </si>
  <si>
    <t>Pica-pau-rei</t>
  </si>
  <si>
    <t>Insetos, larvas, frutos e sementes</t>
  </si>
  <si>
    <t>Celeus flavescens</t>
  </si>
  <si>
    <t>https://www.wikiaves.com.br/pica-pau-de-cabeca-amarela</t>
  </si>
  <si>
    <t>https://pt.wikipedia.org/wiki/Pica-pau-de-cabe%C3%A7a-amarela</t>
  </si>
  <si>
    <t>João velho</t>
  </si>
  <si>
    <t>Insetos e frutas</t>
  </si>
  <si>
    <t>Melanerpes flavifrons</t>
  </si>
  <si>
    <t>https://www.wikiaves.com.br/wiki/benedito-de-testa-amarela</t>
  </si>
  <si>
    <t>https://pt.wikipedia.org/wiki/Benedito-de-testa-amarela</t>
  </si>
  <si>
    <t>Benedito-de-testa-amarela</t>
  </si>
  <si>
    <t>Sittasomus griseicapillus</t>
  </si>
  <si>
    <t>https://www.wikiaves.com.br/wiki/arapacu-verde</t>
  </si>
  <si>
    <t>https://pt.wikipedia.org/wiki/Arapa%C3%A7u-verde</t>
  </si>
  <si>
    <t>Arapaçu-verde</t>
  </si>
  <si>
    <t>Insetos e larvas</t>
  </si>
  <si>
    <t>Megaceryle torquata</t>
  </si>
  <si>
    <t>https://www.wikiaves.com.br/martim-pescador-grande</t>
  </si>
  <si>
    <t>https://pt.wikipedia.org/wiki/Martim-pescador-grande</t>
  </si>
  <si>
    <t>Martim-pescador</t>
  </si>
  <si>
    <t>Peixes e crustáceos</t>
  </si>
  <si>
    <t>Tinamus solitarius</t>
  </si>
  <si>
    <t>https://www.wikiaves.com.br/macuco</t>
  </si>
  <si>
    <t>https://pt.wikipedia.org/wiki/Macuco</t>
  </si>
  <si>
    <t>Macuco</t>
  </si>
  <si>
    <t>Aburria jacutinga</t>
  </si>
  <si>
    <t>https://www.wikiaves.com.br/jacutinga</t>
  </si>
  <si>
    <t>https://pt.wikipedia.org/wiki/Jacutinga</t>
  </si>
  <si>
    <t>Jacutinga</t>
  </si>
  <si>
    <t>Em Perigo</t>
  </si>
  <si>
    <t>Tigrisoma lineatum</t>
  </si>
  <si>
    <t>https://www.wikiaves.com.br/wiki/soco-boi</t>
  </si>
  <si>
    <t>https://pt.wikipedia.org/wiki/Soc%C3%B3-boi</t>
  </si>
  <si>
    <t>Socó-boi</t>
  </si>
  <si>
    <t>Anfíbios, répteis e insetos</t>
  </si>
  <si>
    <t>Columbina talpacoti</t>
  </si>
  <si>
    <t>https://www.wikiaves.com.br/wiki/rolinha-roxa</t>
  </si>
  <si>
    <t>https://pt.wikipedia.org/wiki/Rolinha</t>
  </si>
  <si>
    <t>Rolinha</t>
  </si>
  <si>
    <t>Leptotila verreauxi</t>
  </si>
  <si>
    <t>https://www.wikiaves.com.br/wiki/juriti-pupu</t>
  </si>
  <si>
    <t>https://pt.wikipedia.org/wiki/Leptotila</t>
  </si>
  <si>
    <t>Juriti</t>
  </si>
  <si>
    <t>Patagioenas speciosa</t>
  </si>
  <si>
    <t>https://www.wikiaves.com.br/wiki/pomba-trocal</t>
  </si>
  <si>
    <t>https://pt.wikipedia.org/wiki/Pomba-trocal</t>
  </si>
  <si>
    <t>Pomba trocal</t>
  </si>
  <si>
    <t>Frutas e sementes</t>
  </si>
  <si>
    <t>Patagioenas plumbea</t>
  </si>
  <si>
    <t>https://www.wikiaves.com.br/pomba-amargosa</t>
  </si>
  <si>
    <t>https://pt.wikipedia.org/wiki/Pomba-amargosa</t>
  </si>
  <si>
    <t>Pomba amargosa</t>
  </si>
  <si>
    <t>Procnias nudicollis</t>
  </si>
  <si>
    <t>https://www.wikiaves.com.br/araponga</t>
  </si>
  <si>
    <t>https://pt.wikipedia.org/wiki/Araponga_(ave)</t>
  </si>
  <si>
    <t>Araponga</t>
  </si>
  <si>
    <t>Vulnerável</t>
  </si>
  <si>
    <t>Frutas de palmeiras</t>
  </si>
  <si>
    <t>Vireo chivi</t>
  </si>
  <si>
    <t>https://www.wikiaves.com.br/juruviara</t>
  </si>
  <si>
    <t>https://pt.wikipedia.org/wiki/Juruviara-sul-americana</t>
  </si>
  <si>
    <t>Juruviara</t>
  </si>
  <si>
    <t>Insetos, fruta da embaúba</t>
  </si>
  <si>
    <t>Cyclarhis gujanensis</t>
  </si>
  <si>
    <t>https://www.wikiaves.com.br/pitiguari</t>
  </si>
  <si>
    <t>https://pt.wikipedia.org/wiki/Cyclarhis_gujanensis</t>
  </si>
  <si>
    <t>Pitiguari</t>
  </si>
  <si>
    <t>Troglodytes musculus</t>
  </si>
  <si>
    <t>https://www.wikiaves.com.br/wiki/corruira</t>
  </si>
  <si>
    <t>https://pt.wikipedia.org/wiki/Curru%C3%ADra</t>
  </si>
  <si>
    <t>Corruíra</t>
  </si>
  <si>
    <t>Basileuterus culicivorus</t>
  </si>
  <si>
    <t>https://www.wikiaves.com.br/pula-pula</t>
  </si>
  <si>
    <t>https://pt.wikipedia.org/wiki/Basileuterus_culicivorus</t>
  </si>
  <si>
    <t>Pula-pula</t>
  </si>
  <si>
    <t>Insetos</t>
  </si>
  <si>
    <t>Caracara plancus</t>
  </si>
  <si>
    <t>https://www.wikiaves.com.br/carcara</t>
  </si>
  <si>
    <t>https://pt.wikipedia.org/wiki/Carcar%C3%A1</t>
  </si>
  <si>
    <t>Carcará</t>
  </si>
  <si>
    <t>Onívoro</t>
  </si>
  <si>
    <t>Rupornis magnirostris</t>
  </si>
  <si>
    <t>https://www.wikiaves.com.br/gaviao-carijo</t>
  </si>
  <si>
    <t>https://pt.wikipedia.org/wiki/Gavi%C3%A3o-carij%C3%B3</t>
  </si>
  <si>
    <t>Gavião carijó</t>
  </si>
  <si>
    <t>Aves, répteis e pequenos mamíferos</t>
  </si>
  <si>
    <t>Parabuteo unicinctus</t>
  </si>
  <si>
    <t>https://www.wikiaves.com.br/wiki/gaviao-asa-de-telha</t>
  </si>
  <si>
    <t>https://pt.wikipedia.org/wiki/Gavi%C3%A3o-asa-de-telha</t>
  </si>
  <si>
    <t>Gavião asa de telha</t>
  </si>
  <si>
    <t>Pequenos vertebrados</t>
  </si>
  <si>
    <t>Harpagus diodon</t>
  </si>
  <si>
    <t>https://www.wikiaves.com.br/gaviao-bombachinha</t>
  </si>
  <si>
    <t>https://pt.wikipedia.org/wiki/Gavi%C3%A3o-bombachinha-grande</t>
  </si>
  <si>
    <t>Gavião bombachinha grande</t>
  </si>
  <si>
    <t>Insetos e pássaros pequenos</t>
  </si>
  <si>
    <t>Ramphodon naevius</t>
  </si>
  <si>
    <t>https://www.wikiaves.com.br/beija-flor-rajado</t>
  </si>
  <si>
    <t>https://pt.wikipedia.org/wiki/Beija-flor-rajado</t>
  </si>
  <si>
    <t>Beija flor rajado</t>
  </si>
  <si>
    <t>Néctar e pequenos artrópodes</t>
  </si>
  <si>
    <t>Glaucis hirsutus</t>
  </si>
  <si>
    <t>https://www.wikiaves.com.br/wiki/balanca-rabo-de-bico-torto</t>
  </si>
  <si>
    <t>https://pt.wikipedia.org/wiki/Glaucis_hirsutus</t>
  </si>
  <si>
    <t>Beija flor balança rabo do bico torto</t>
  </si>
  <si>
    <t>Thalurania glaucopis</t>
  </si>
  <si>
    <t>https://www.wikiaves.com.br/beija-flor-de-fronte-violeta</t>
  </si>
  <si>
    <t>https://pt.wikipedia.org/wiki/Beija-flor-de-fronte-violeta</t>
  </si>
  <si>
    <t>Beija flor fronte violeta</t>
  </si>
  <si>
    <t>Heliodoxa rubricauda</t>
  </si>
  <si>
    <t>https://www.wikiaves.com.br/beija-flor-rubi</t>
  </si>
  <si>
    <t>https://pt.wikipedia.org/wiki/Heliodoxa_rubricauda</t>
  </si>
  <si>
    <t>Beija flor rubi</t>
  </si>
  <si>
    <t>Aphantochroa cirrochloris</t>
  </si>
  <si>
    <t>https://www.wikiaves.com.br/wiki/beija-flor-cinza</t>
  </si>
  <si>
    <t>https://pt.wikipedia.org/wiki/Beija-flor-cinza</t>
  </si>
  <si>
    <t>Beija flor cinza</t>
  </si>
  <si>
    <t>Florisuga fusca</t>
  </si>
  <si>
    <t>https://www.wikiaves.com.br/beija-flor-preto</t>
  </si>
  <si>
    <t>https://pt.wikipedia.org/wiki/Beija-flor-preto</t>
  </si>
  <si>
    <t>Beija flor preto</t>
  </si>
  <si>
    <t>Eupetomena macroura</t>
  </si>
  <si>
    <t>https://www.wikiaves.com.br/beija-flor-tesoura</t>
  </si>
  <si>
    <t>https://pt.wikipedia.org/wiki/Beija-flor-tesoura</t>
  </si>
  <si>
    <t>Beija flor tesoura</t>
  </si>
  <si>
    <t>Anthracothorax nigricollis</t>
  </si>
  <si>
    <t>https://www.wikiaves.com.br/wiki/beija-flor-de-veste-preta</t>
  </si>
  <si>
    <t>https://pt.wikipedia.org/wiki/Beija-flor_de-veste-preta</t>
  </si>
  <si>
    <t>Beija flor de frente preta</t>
  </si>
  <si>
    <t>Lophornis chalybeus</t>
  </si>
  <si>
    <t>https://www.wikiaves.com.br/wiki/topetinho-verde#:~:text=O%20topetinho%2Dverde%20%C3%A9%20um,verde%20iridescente%20atr%C3%A1s%20dos%20olhos.</t>
  </si>
  <si>
    <t>https://pt.wikipedia.org/wiki/Topetinho-verde</t>
  </si>
  <si>
    <t>Beija flor topetinho verde</t>
  </si>
  <si>
    <t>Selenidera maculirostris</t>
  </si>
  <si>
    <t>https://www.wikiaves.com.br/aracari-poca</t>
  </si>
  <si>
    <t>https://pt.wikipedia.org/wiki/Selenidera_maculirostris</t>
  </si>
  <si>
    <t>Araçari poca</t>
  </si>
  <si>
    <t>Ramphastos dicolorus</t>
  </si>
  <si>
    <t>https://www.wikiaves.com.br/tucano-de-bico-verde</t>
  </si>
  <si>
    <t>https://pt.wikipedia.org/wiki/Tucano-de-bico-verde</t>
  </si>
  <si>
    <t>Tucano bico verde</t>
  </si>
  <si>
    <t>Frutas, ovos e filhotes no ninho</t>
  </si>
</sst>
</file>

<file path=xl/styles.xml><?xml version="1.0" encoding="utf-8"?>
<styleSheet xmlns="http://schemas.openxmlformats.org/spreadsheetml/2006/main" xmlns:x14ac="http://schemas.microsoft.com/office/spreadsheetml/2009/9/ac" xmlns:mc="http://schemas.openxmlformats.org/markup-compatibility/2006">
  <fonts count="19">
    <font>
      <sz val="12.0"/>
      <color theme="1"/>
      <name val="Aptos Narrow"/>
      <scheme val="minor"/>
    </font>
    <font>
      <b/>
      <sz val="12.0"/>
      <color theme="1"/>
      <name val="Aptos Narrow"/>
    </font>
    <font>
      <b/>
      <sz val="12.0"/>
      <color theme="1"/>
      <name val="Arial"/>
    </font>
    <font>
      <b/>
      <color theme="1"/>
      <name val="Arial"/>
    </font>
    <font>
      <u/>
      <sz val="12.0"/>
      <color theme="10"/>
      <name val="Aptos Narrow"/>
    </font>
    <font>
      <u/>
      <sz val="11.0"/>
      <color theme="1"/>
      <name val="Aptos"/>
    </font>
    <font>
      <u/>
      <sz val="11.0"/>
      <color theme="1"/>
      <name val="Aptos"/>
    </font>
    <font>
      <sz val="11.0"/>
      <color theme="1"/>
      <name val="Aptos"/>
    </font>
    <font>
      <sz val="11.0"/>
      <color theme="1"/>
      <name val="Arial"/>
    </font>
    <font>
      <color theme="1"/>
      <name val="Arial"/>
    </font>
    <font>
      <u/>
      <sz val="12.0"/>
      <color theme="10"/>
      <name val="Aptos Narrow"/>
    </font>
    <font>
      <u/>
      <sz val="11.0"/>
      <color theme="1"/>
      <name val="Arial"/>
    </font>
    <font>
      <color theme="1"/>
      <name val="Aptos Narrow"/>
    </font>
    <font>
      <color theme="1"/>
      <name val="Aptos Narrow"/>
      <scheme val="minor"/>
    </font>
    <font>
      <u/>
      <sz val="11.0"/>
      <color theme="1"/>
      <name val="Aptos"/>
    </font>
    <font>
      <u/>
      <sz val="11.0"/>
      <color theme="1"/>
      <name val="Arial"/>
    </font>
    <font>
      <u/>
      <sz val="12.0"/>
      <color rgb="FF0000FF"/>
      <name val="Arial"/>
    </font>
    <font>
      <u/>
      <sz val="12.0"/>
      <color theme="10"/>
      <name val="Aptos Narrow"/>
    </font>
    <font>
      <u/>
      <sz val="11.0"/>
      <color theme="1"/>
      <name val="Aptos"/>
    </font>
  </fonts>
  <fills count="3">
    <fill>
      <patternFill patternType="none"/>
    </fill>
    <fill>
      <patternFill patternType="lightGray"/>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0" fontId="1" numFmtId="0" xfId="0" applyBorder="1" applyFont="1"/>
    <xf borderId="1" fillId="0" fontId="2" numFmtId="0" xfId="0" applyBorder="1" applyFont="1"/>
    <xf borderId="1" fillId="0" fontId="2" numFmtId="0" xfId="0" applyAlignment="1" applyBorder="1" applyFont="1">
      <alignment readingOrder="0"/>
    </xf>
    <xf borderId="0" fillId="0" fontId="3" numFmtId="0" xfId="0" applyAlignment="1" applyFont="1">
      <alignment readingOrder="0"/>
    </xf>
    <xf borderId="0" fillId="0" fontId="3" numFmtId="0" xfId="0" applyFont="1"/>
    <xf borderId="1" fillId="0" fontId="4" numFmtId="0" xfId="0" applyBorder="1" applyFont="1"/>
    <xf borderId="1" fillId="0" fontId="5" numFmtId="0" xfId="0" applyAlignment="1" applyBorder="1" applyFont="1">
      <alignment shrinkToFit="0" vertical="center" wrapText="1"/>
    </xf>
    <xf borderId="1" fillId="0" fontId="6"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0" fillId="0" fontId="9" numFmtId="0" xfId="0" applyAlignment="1" applyFont="1">
      <alignment readingOrder="0"/>
    </xf>
    <xf borderId="0" fillId="0" fontId="9" numFmtId="0" xfId="0" applyFont="1"/>
    <xf borderId="0" fillId="0" fontId="10" numFmtId="0" xfId="0" applyFont="1"/>
    <xf borderId="1" fillId="0" fontId="11" numFmtId="0" xfId="0" applyAlignment="1" applyBorder="1" applyFont="1">
      <alignment readingOrder="0" shrinkToFit="0" vertical="center" wrapText="1"/>
    </xf>
    <xf borderId="0" fillId="0" fontId="12" numFmtId="0" xfId="0" applyFont="1"/>
    <xf borderId="0" fillId="0" fontId="13" numFmtId="0" xfId="0" applyFont="1"/>
    <xf borderId="1" fillId="0" fontId="7" numFmtId="0" xfId="0" applyAlignment="1" applyBorder="1" applyFont="1">
      <alignment shrinkToFit="0" vertical="center" wrapText="1"/>
    </xf>
    <xf borderId="1" fillId="2" fontId="14" numFmtId="0" xfId="0" applyAlignment="1" applyBorder="1" applyFill="1" applyFont="1">
      <alignment readingOrder="0" shrinkToFit="0" vertical="center" wrapText="1"/>
    </xf>
    <xf borderId="1" fillId="2" fontId="15" numFmtId="0" xfId="0" applyAlignment="1" applyBorder="1" applyFont="1">
      <alignment readingOrder="0" shrinkToFit="0" vertical="center" wrapText="1"/>
    </xf>
    <xf borderId="1" fillId="2" fontId="8" numFmtId="0" xfId="0" applyAlignment="1" applyBorder="1" applyFont="1">
      <alignment readingOrder="0" shrinkToFit="0" vertical="center" wrapText="1"/>
    </xf>
    <xf borderId="1" fillId="2" fontId="7" numFmtId="0" xfId="0" applyAlignment="1" applyBorder="1" applyFont="1">
      <alignment readingOrder="0" shrinkToFit="0" vertical="center" wrapText="1"/>
    </xf>
    <xf borderId="1" fillId="0" fontId="16" numFmtId="0" xfId="0" applyAlignment="1" applyBorder="1" applyFont="1">
      <alignment readingOrder="0"/>
    </xf>
    <xf borderId="1" fillId="0" fontId="17" numFmtId="0" xfId="0" applyAlignment="1" applyBorder="1" applyFont="1">
      <alignment shrinkToFit="0" vertical="top" wrapText="1"/>
    </xf>
    <xf borderId="1" fillId="2" fontId="7" numFmtId="0" xfId="0" applyAlignment="1" applyBorder="1" applyFont="1">
      <alignment shrinkToFit="0" vertical="center" wrapText="1"/>
    </xf>
    <xf borderId="0" fillId="0" fontId="18"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wikiaves.com.br/wiki/tie-de-topete" TargetMode="External"/><Relationship Id="rId190" Type="http://schemas.openxmlformats.org/officeDocument/2006/relationships/hyperlink" Target="https://www.wikiaves.com.br/wiki/beija-flor-cinza" TargetMode="External"/><Relationship Id="rId42" Type="http://schemas.openxmlformats.org/officeDocument/2006/relationships/hyperlink" Target="https://www.wikiaves.com.br/catirumbava" TargetMode="External"/><Relationship Id="rId41" Type="http://schemas.openxmlformats.org/officeDocument/2006/relationships/hyperlink" Target="https://pt.wikipedia.org/wiki/Ti%C3%AA-de-topete" TargetMode="External"/><Relationship Id="rId44" Type="http://schemas.openxmlformats.org/officeDocument/2006/relationships/hyperlink" Target="https://pt.wikipedia.org/wiki/Catirumbava" TargetMode="External"/><Relationship Id="rId194" Type="http://schemas.openxmlformats.org/officeDocument/2006/relationships/hyperlink" Target="https://pt.wikipedia.org/wiki/Beija-flor-preto" TargetMode="External"/><Relationship Id="rId43" Type="http://schemas.openxmlformats.org/officeDocument/2006/relationships/hyperlink" Target="https://www.wikiaves.com.br/wiki/catirumbava" TargetMode="External"/><Relationship Id="rId193" Type="http://schemas.openxmlformats.org/officeDocument/2006/relationships/hyperlink" Target="https://www.wikiaves.com.br/beija-flor-preto" TargetMode="External"/><Relationship Id="rId46" Type="http://schemas.openxmlformats.org/officeDocument/2006/relationships/hyperlink" Target="https://www.wikiaves.com.br/wiki/sabia-laranjeira" TargetMode="External"/><Relationship Id="rId192" Type="http://schemas.openxmlformats.org/officeDocument/2006/relationships/hyperlink" Target="https://www.wikiaves.com.br/beija-flor-preto" TargetMode="External"/><Relationship Id="rId45" Type="http://schemas.openxmlformats.org/officeDocument/2006/relationships/hyperlink" Target="https://www.wikiaves.com.br/sabia-laranjeira" TargetMode="External"/><Relationship Id="rId191" Type="http://schemas.openxmlformats.org/officeDocument/2006/relationships/hyperlink" Target="https://pt.wikipedia.org/wiki/Beija-flor-cinza" TargetMode="External"/><Relationship Id="rId48" Type="http://schemas.openxmlformats.org/officeDocument/2006/relationships/hyperlink" Target="https://www.wikiaves.com.br/sabia-una" TargetMode="External"/><Relationship Id="rId187" Type="http://schemas.openxmlformats.org/officeDocument/2006/relationships/hyperlink" Target="https://www.wikiaves.com.br/beija-flor-rubi" TargetMode="External"/><Relationship Id="rId47" Type="http://schemas.openxmlformats.org/officeDocument/2006/relationships/hyperlink" Target="https://pt.wikipedia.org/wiki/Sabi%C3%A1-laranjeira" TargetMode="External"/><Relationship Id="rId186" Type="http://schemas.openxmlformats.org/officeDocument/2006/relationships/hyperlink" Target="https://www.wikiaves.com.br/beija-flor-rubi" TargetMode="External"/><Relationship Id="rId185" Type="http://schemas.openxmlformats.org/officeDocument/2006/relationships/hyperlink" Target="https://pt.wikipedia.org/wiki/Beija-flor-de-fronte-violeta" TargetMode="External"/><Relationship Id="rId49" Type="http://schemas.openxmlformats.org/officeDocument/2006/relationships/hyperlink" Target="https://www.wikiaves.com.br/wiki/sabia-una" TargetMode="External"/><Relationship Id="rId184" Type="http://schemas.openxmlformats.org/officeDocument/2006/relationships/hyperlink" Target="https://www.wikiaves.com.br/beija-flor-de-fronte-violeta" TargetMode="External"/><Relationship Id="rId189" Type="http://schemas.openxmlformats.org/officeDocument/2006/relationships/hyperlink" Target="https://www.wikiaves.com.br/wiki/beija-flor-cinza" TargetMode="External"/><Relationship Id="rId188" Type="http://schemas.openxmlformats.org/officeDocument/2006/relationships/hyperlink" Target="https://pt.wikipedia.org/wiki/Heliodoxa_rubricauda" TargetMode="External"/><Relationship Id="rId31" Type="http://schemas.openxmlformats.org/officeDocument/2006/relationships/hyperlink" Target="https://www.wikiaves.com.br/wiki/tie-sangue" TargetMode="External"/><Relationship Id="rId30" Type="http://schemas.openxmlformats.org/officeDocument/2006/relationships/hyperlink" Target="https://www.wikiaves.com.br/tie-sangue" TargetMode="External"/><Relationship Id="rId33" Type="http://schemas.openxmlformats.org/officeDocument/2006/relationships/hyperlink" Target="https://www.wikiaves.com.br/tie-preto" TargetMode="External"/><Relationship Id="rId183" Type="http://schemas.openxmlformats.org/officeDocument/2006/relationships/hyperlink" Target="https://www.wikiaves.com.br/beija-flor-de-fronte-violeta" TargetMode="External"/><Relationship Id="rId32" Type="http://schemas.openxmlformats.org/officeDocument/2006/relationships/hyperlink" Target="https://pt.wikipedia.org/wiki/Ti%C3%AA-sangue" TargetMode="External"/><Relationship Id="rId182" Type="http://schemas.openxmlformats.org/officeDocument/2006/relationships/hyperlink" Target="https://pt.wikipedia.org/wiki/Glaucis_hirsutus" TargetMode="External"/><Relationship Id="rId35" Type="http://schemas.openxmlformats.org/officeDocument/2006/relationships/hyperlink" Target="https://pt.wikipedia.org/wiki/Ti%C3%AA-preto" TargetMode="External"/><Relationship Id="rId181" Type="http://schemas.openxmlformats.org/officeDocument/2006/relationships/hyperlink" Target="https://www.wikiaves.com.br/wiki/balanca-rabo-de-bico-torto" TargetMode="External"/><Relationship Id="rId34" Type="http://schemas.openxmlformats.org/officeDocument/2006/relationships/hyperlink" Target="https://www.wikiaves.com.br/wiki/tie-preto" TargetMode="External"/><Relationship Id="rId180" Type="http://schemas.openxmlformats.org/officeDocument/2006/relationships/hyperlink" Target="https://www.wikiaves.com.br/wiki/balanca-rabo-de-bico-torto" TargetMode="External"/><Relationship Id="rId37" Type="http://schemas.openxmlformats.org/officeDocument/2006/relationships/hyperlink" Target="https://www.wikiaves.com.br/wiki/tie-de-bando" TargetMode="External"/><Relationship Id="rId176" Type="http://schemas.openxmlformats.org/officeDocument/2006/relationships/hyperlink" Target="https://pt.wikipedia.org/wiki/Gavi%C3%A3o-bombachinha-grande" TargetMode="External"/><Relationship Id="rId36" Type="http://schemas.openxmlformats.org/officeDocument/2006/relationships/hyperlink" Target="https://www.wikiaves.com.br/tie-de-bando" TargetMode="External"/><Relationship Id="rId175" Type="http://schemas.openxmlformats.org/officeDocument/2006/relationships/hyperlink" Target="https://www.wikiaves.com.br/gaviao-bombachinha" TargetMode="External"/><Relationship Id="rId39" Type="http://schemas.openxmlformats.org/officeDocument/2006/relationships/hyperlink" Target="https://www.wikiaves.com.br/tie-de-topete" TargetMode="External"/><Relationship Id="rId174" Type="http://schemas.openxmlformats.org/officeDocument/2006/relationships/hyperlink" Target="https://www.wikiaves.com.br/gaviao-bombachinha" TargetMode="External"/><Relationship Id="rId38" Type="http://schemas.openxmlformats.org/officeDocument/2006/relationships/hyperlink" Target="https://pt.wikipedia.org/wiki/Ti%C3%AA-de-bando" TargetMode="External"/><Relationship Id="rId173" Type="http://schemas.openxmlformats.org/officeDocument/2006/relationships/hyperlink" Target="https://pt.wikipedia.org/wiki/Gavi%C3%A3o-asa-de-telha" TargetMode="External"/><Relationship Id="rId179" Type="http://schemas.openxmlformats.org/officeDocument/2006/relationships/hyperlink" Target="https://pt.wikipedia.org/wiki/Beija-flor-rajado" TargetMode="External"/><Relationship Id="rId178" Type="http://schemas.openxmlformats.org/officeDocument/2006/relationships/hyperlink" Target="https://www.wikiaves.com.br/beija-flor-rajado" TargetMode="External"/><Relationship Id="rId177" Type="http://schemas.openxmlformats.org/officeDocument/2006/relationships/hyperlink" Target="https://www.wikiaves.com.br/beija-flor-rajado" TargetMode="External"/><Relationship Id="rId20" Type="http://schemas.openxmlformats.org/officeDocument/2006/relationships/hyperlink" Target="https://www.wikiaves.com.br/sanhaco-de-encontro-amarelo" TargetMode="External"/><Relationship Id="rId22" Type="http://schemas.openxmlformats.org/officeDocument/2006/relationships/hyperlink" Target="https://www.wikiaves.com.br/wiki/sanhaco-de-encontro-azul" TargetMode="External"/><Relationship Id="rId21" Type="http://schemas.openxmlformats.org/officeDocument/2006/relationships/hyperlink" Target="https://pt.wikipedia.org/wiki/Sanha%C3%A7o-rei" TargetMode="External"/><Relationship Id="rId24" Type="http://schemas.openxmlformats.org/officeDocument/2006/relationships/hyperlink" Target="https://www.wikiaves.com.br/sanhaco-cinzento" TargetMode="External"/><Relationship Id="rId23" Type="http://schemas.openxmlformats.org/officeDocument/2006/relationships/hyperlink" Target="https://pt.wikipedia.org/wiki/Sanha%C3%A7u-de-encontro-azul" TargetMode="External"/><Relationship Id="rId26" Type="http://schemas.openxmlformats.org/officeDocument/2006/relationships/hyperlink" Target="https://pt.wikipedia.org/wiki/Sanha%C3%A7o-cinzento" TargetMode="External"/><Relationship Id="rId25" Type="http://schemas.openxmlformats.org/officeDocument/2006/relationships/hyperlink" Target="https://www.wikiaves.com.br/sanhaco-cinzento" TargetMode="External"/><Relationship Id="rId28" Type="http://schemas.openxmlformats.org/officeDocument/2006/relationships/hyperlink" Target="https://www.wikiaves.com.br/wiki/ferro-velho" TargetMode="External"/><Relationship Id="rId27" Type="http://schemas.openxmlformats.org/officeDocument/2006/relationships/hyperlink" Target="https://www.wikiaves.com.br/wiki/ferro-velho" TargetMode="External"/><Relationship Id="rId29" Type="http://schemas.openxmlformats.org/officeDocument/2006/relationships/hyperlink" Target="https://pt.wikipedia.org/wiki/Ferro-velho_(p%C3%A1ssaro)" TargetMode="External"/><Relationship Id="rId11" Type="http://schemas.openxmlformats.org/officeDocument/2006/relationships/hyperlink" Target="https://www.wikiaves.com.br/capitao-de-saira" TargetMode="External"/><Relationship Id="rId10" Type="http://schemas.openxmlformats.org/officeDocument/2006/relationships/hyperlink" Target="https://www.wikiaves.com.br/capitao-de-saira" TargetMode="External"/><Relationship Id="rId13" Type="http://schemas.openxmlformats.org/officeDocument/2006/relationships/hyperlink" Target="https://www.wikiaves.com.br/saira-militar" TargetMode="External"/><Relationship Id="rId12" Type="http://schemas.openxmlformats.org/officeDocument/2006/relationships/hyperlink" Target="https://pt.wikipedia.org/wiki/Capit%C3%A3o-de-sa%C3%ADra" TargetMode="External"/><Relationship Id="rId15" Type="http://schemas.openxmlformats.org/officeDocument/2006/relationships/hyperlink" Target="https://pt.wikipedia.org/wiki/Tangara_cyanocephala" TargetMode="External"/><Relationship Id="rId198" Type="http://schemas.openxmlformats.org/officeDocument/2006/relationships/hyperlink" Target="https://www.wikiaves.com.br/wiki/beija-flor-de-veste-preta" TargetMode="External"/><Relationship Id="rId14" Type="http://schemas.openxmlformats.org/officeDocument/2006/relationships/hyperlink" Target="https://www.wikiaves.com.br/saira-militar" TargetMode="External"/><Relationship Id="rId197" Type="http://schemas.openxmlformats.org/officeDocument/2006/relationships/hyperlink" Target="https://pt.wikipedia.org/wiki/Beija-flor-tesoura" TargetMode="External"/><Relationship Id="rId17" Type="http://schemas.openxmlformats.org/officeDocument/2006/relationships/hyperlink" Target="https://www.wikiaves.com.br/sanhaco-do-coqueiro" TargetMode="External"/><Relationship Id="rId196" Type="http://schemas.openxmlformats.org/officeDocument/2006/relationships/hyperlink" Target="https://www.wikiaves.com.br/beija-flor-tesoura" TargetMode="External"/><Relationship Id="rId16" Type="http://schemas.openxmlformats.org/officeDocument/2006/relationships/hyperlink" Target="https://www.wikiaves.com.br/sanhaco-do-coqueiro" TargetMode="External"/><Relationship Id="rId195" Type="http://schemas.openxmlformats.org/officeDocument/2006/relationships/hyperlink" Target="https://www.wikiaves.com.br/beija-flor-tesoura" TargetMode="External"/><Relationship Id="rId19" Type="http://schemas.openxmlformats.org/officeDocument/2006/relationships/hyperlink" Target="https://www.wikiaves.com.br/sanhaco-de-encontro-amarelo" TargetMode="External"/><Relationship Id="rId18" Type="http://schemas.openxmlformats.org/officeDocument/2006/relationships/hyperlink" Target="https://pt.wikipedia.org/wiki/Sanha%C3%A7u-verde" TargetMode="External"/><Relationship Id="rId199" Type="http://schemas.openxmlformats.org/officeDocument/2006/relationships/hyperlink" Target="https://www.wikiaves.com.br/wiki/beija-flor-de-veste-preta" TargetMode="External"/><Relationship Id="rId84" Type="http://schemas.openxmlformats.org/officeDocument/2006/relationships/hyperlink" Target="https://www.wikiaves.com.br/wiki/canario-da-terra" TargetMode="External"/><Relationship Id="rId83" Type="http://schemas.openxmlformats.org/officeDocument/2006/relationships/hyperlink" Target="https://pt.wikipedia.org/wiki/Papagaio-moleiro" TargetMode="External"/><Relationship Id="rId86" Type="http://schemas.openxmlformats.org/officeDocument/2006/relationships/hyperlink" Target="https://pt.wikipedia.org/wiki/Can%C3%A1rio-da-terra-verdadeiro" TargetMode="External"/><Relationship Id="rId85" Type="http://schemas.openxmlformats.org/officeDocument/2006/relationships/hyperlink" Target="https://www.wikiaves.com.br/wiki/canario-da-terra" TargetMode="External"/><Relationship Id="rId88" Type="http://schemas.openxmlformats.org/officeDocument/2006/relationships/hyperlink" Target="https://www.wikiaves.com.br/wiki/bico-de-lacre" TargetMode="External"/><Relationship Id="rId150" Type="http://schemas.openxmlformats.org/officeDocument/2006/relationships/hyperlink" Target="https://www.wikiaves.com.br/araponga" TargetMode="External"/><Relationship Id="rId87" Type="http://schemas.openxmlformats.org/officeDocument/2006/relationships/hyperlink" Target="https://www.wikiaves.com.br/bico-de-lacre" TargetMode="External"/><Relationship Id="rId89" Type="http://schemas.openxmlformats.org/officeDocument/2006/relationships/hyperlink" Target="https://pt.wikipedia.org/wiki/Bico-de-lacre-comum" TargetMode="External"/><Relationship Id="rId80" Type="http://schemas.openxmlformats.org/officeDocument/2006/relationships/hyperlink" Target="https://pt.wikipedia.org/wiki/Periquito-verde" TargetMode="External"/><Relationship Id="rId82" Type="http://schemas.openxmlformats.org/officeDocument/2006/relationships/hyperlink" Target="https://www.wikiaves.com.br/wiki/papagaio-moleiro" TargetMode="External"/><Relationship Id="rId81" Type="http://schemas.openxmlformats.org/officeDocument/2006/relationships/hyperlink" Target="https://www.wikiaves.com.br/papagaio-moleiro" TargetMode="External"/><Relationship Id="rId1" Type="http://schemas.openxmlformats.org/officeDocument/2006/relationships/hyperlink" Target="https://www.wikiaves.com.br/sai-verde" TargetMode="External"/><Relationship Id="rId2" Type="http://schemas.openxmlformats.org/officeDocument/2006/relationships/hyperlink" Target="https://www.wikiaves.com.br/sai-verde" TargetMode="External"/><Relationship Id="rId3" Type="http://schemas.openxmlformats.org/officeDocument/2006/relationships/hyperlink" Target="https://pt.wikipedia.org/wiki/Chlorophanes_spiza" TargetMode="External"/><Relationship Id="rId149" Type="http://schemas.openxmlformats.org/officeDocument/2006/relationships/hyperlink" Target="https://pt.wikipedia.org/wiki/Pomba-amargosa" TargetMode="External"/><Relationship Id="rId4" Type="http://schemas.openxmlformats.org/officeDocument/2006/relationships/hyperlink" Target="https://www.wikiaves.com.br/sai-azul" TargetMode="External"/><Relationship Id="rId148" Type="http://schemas.openxmlformats.org/officeDocument/2006/relationships/hyperlink" Target="https://www.wikiaves.com.br/pomba-amargosa" TargetMode="External"/><Relationship Id="rId9" Type="http://schemas.openxmlformats.org/officeDocument/2006/relationships/hyperlink" Target="https://pt.wikipedia.org/wiki/Sa%C3%ADra-sete-cores" TargetMode="External"/><Relationship Id="rId143" Type="http://schemas.openxmlformats.org/officeDocument/2006/relationships/hyperlink" Target="https://pt.wikipedia.org/wiki/Leptotila" TargetMode="External"/><Relationship Id="rId142" Type="http://schemas.openxmlformats.org/officeDocument/2006/relationships/hyperlink" Target="https://www.wikiaves.com.br/wiki/juriti-pupu" TargetMode="External"/><Relationship Id="rId141" Type="http://schemas.openxmlformats.org/officeDocument/2006/relationships/hyperlink" Target="https://www.wikiaves.com.br/wiki/juriti-pupu" TargetMode="External"/><Relationship Id="rId140" Type="http://schemas.openxmlformats.org/officeDocument/2006/relationships/hyperlink" Target="https://pt.wikipedia.org/wiki/Rolinha" TargetMode="External"/><Relationship Id="rId5" Type="http://schemas.openxmlformats.org/officeDocument/2006/relationships/hyperlink" Target="https://www.wikiaves.com.br/sai-azul" TargetMode="External"/><Relationship Id="rId147" Type="http://schemas.openxmlformats.org/officeDocument/2006/relationships/hyperlink" Target="https://www.wikiaves.com.br/pomba-amargosa" TargetMode="External"/><Relationship Id="rId6" Type="http://schemas.openxmlformats.org/officeDocument/2006/relationships/hyperlink" Target="https://pt.wikipedia.org/wiki/Dacnis_cayana" TargetMode="External"/><Relationship Id="rId146" Type="http://schemas.openxmlformats.org/officeDocument/2006/relationships/hyperlink" Target="https://pt.wikipedia.org/wiki/Pomba-trocal" TargetMode="External"/><Relationship Id="rId7" Type="http://schemas.openxmlformats.org/officeDocument/2006/relationships/hyperlink" Target="https://www.wikiaves.com.br/saira-sete-cores" TargetMode="External"/><Relationship Id="rId145" Type="http://schemas.openxmlformats.org/officeDocument/2006/relationships/hyperlink" Target="https://www.wikiaves.com.br/wiki/pomba-trocal" TargetMode="External"/><Relationship Id="rId8" Type="http://schemas.openxmlformats.org/officeDocument/2006/relationships/hyperlink" Target="https://www.wikiaves.com.br/saira-sete-cores" TargetMode="External"/><Relationship Id="rId144" Type="http://schemas.openxmlformats.org/officeDocument/2006/relationships/hyperlink" Target="https://www.wikiaves.com.br/wiki/pomba-trocal" TargetMode="External"/><Relationship Id="rId73" Type="http://schemas.openxmlformats.org/officeDocument/2006/relationships/hyperlink" Target="https://www.wikiaves.com.br/wiki/surucua-de-barriga-amarela" TargetMode="External"/><Relationship Id="rId72" Type="http://schemas.openxmlformats.org/officeDocument/2006/relationships/hyperlink" Target="https://www.wikiaves.com.br/surucua-de-barriga-amarela" TargetMode="External"/><Relationship Id="rId75" Type="http://schemas.openxmlformats.org/officeDocument/2006/relationships/hyperlink" Target="https://www.wikiaves.com.br/tiriba-de-testa-vermelha" TargetMode="External"/><Relationship Id="rId74" Type="http://schemas.openxmlformats.org/officeDocument/2006/relationships/hyperlink" Target="https://pt.wikipedia.org/wiki/Trogon_viridis" TargetMode="External"/><Relationship Id="rId77" Type="http://schemas.openxmlformats.org/officeDocument/2006/relationships/hyperlink" Target="https://pt.wikipedia.org/wiki/Tiriba-de-testa-vermelha" TargetMode="External"/><Relationship Id="rId76" Type="http://schemas.openxmlformats.org/officeDocument/2006/relationships/hyperlink" Target="https://www.wikiaves.com.br/wiki/tiriba-de-testa-vermelha" TargetMode="External"/><Relationship Id="rId79" Type="http://schemas.openxmlformats.org/officeDocument/2006/relationships/hyperlink" Target="https://www.wikiaves.com.br/wiki/periquito-rico" TargetMode="External"/><Relationship Id="rId78" Type="http://schemas.openxmlformats.org/officeDocument/2006/relationships/hyperlink" Target="https://www.wikiaves.com.br/periquito-rico" TargetMode="External"/><Relationship Id="rId71" Type="http://schemas.openxmlformats.org/officeDocument/2006/relationships/hyperlink" Target="https://pt.wikipedia.org/wiki/Surucu%C3%A1-variado" TargetMode="External"/><Relationship Id="rId70" Type="http://schemas.openxmlformats.org/officeDocument/2006/relationships/hyperlink" Target="https://www.wikiaves.com.br/wiki/surucua-variado" TargetMode="External"/><Relationship Id="rId139" Type="http://schemas.openxmlformats.org/officeDocument/2006/relationships/hyperlink" Target="https://www.wikiaves.com.br/wiki/rolinha-roxa" TargetMode="External"/><Relationship Id="rId138" Type="http://schemas.openxmlformats.org/officeDocument/2006/relationships/hyperlink" Target="https://www.wikiaves.com.br/wiki/rolinha-roxa" TargetMode="External"/><Relationship Id="rId137" Type="http://schemas.openxmlformats.org/officeDocument/2006/relationships/hyperlink" Target="https://pt.wikipedia.org/wiki/Soc%C3%B3-boi" TargetMode="External"/><Relationship Id="rId132" Type="http://schemas.openxmlformats.org/officeDocument/2006/relationships/hyperlink" Target="https://www.wikiaves.com.br/jacutinga" TargetMode="External"/><Relationship Id="rId131" Type="http://schemas.openxmlformats.org/officeDocument/2006/relationships/hyperlink" Target="https://pt.wikipedia.org/wiki/Macuco" TargetMode="External"/><Relationship Id="rId130" Type="http://schemas.openxmlformats.org/officeDocument/2006/relationships/hyperlink" Target="https://www.wikiaves.com.br/macuco" TargetMode="External"/><Relationship Id="rId136" Type="http://schemas.openxmlformats.org/officeDocument/2006/relationships/hyperlink" Target="https://www.wikiaves.com.br/wiki/soco-boi" TargetMode="External"/><Relationship Id="rId135" Type="http://schemas.openxmlformats.org/officeDocument/2006/relationships/hyperlink" Target="https://www.wikiaves.com.br/wiki/soco-boi" TargetMode="External"/><Relationship Id="rId134" Type="http://schemas.openxmlformats.org/officeDocument/2006/relationships/hyperlink" Target="https://pt.wikipedia.org/wiki/Jacutinga" TargetMode="External"/><Relationship Id="rId133" Type="http://schemas.openxmlformats.org/officeDocument/2006/relationships/hyperlink" Target="https://www.wikiaves.com.br/jacutinga" TargetMode="External"/><Relationship Id="rId62" Type="http://schemas.openxmlformats.org/officeDocument/2006/relationships/hyperlink" Target="https://pt.wikipedia.org/wiki/Tangar%C3%A1_(ave)" TargetMode="External"/><Relationship Id="rId61" Type="http://schemas.openxmlformats.org/officeDocument/2006/relationships/hyperlink" Target="https://www.wikiaves.com.br/wiki/tangara" TargetMode="External"/><Relationship Id="rId64" Type="http://schemas.openxmlformats.org/officeDocument/2006/relationships/hyperlink" Target="https://www.wikiaves.com.br/wiki/gaturamo-rei" TargetMode="External"/><Relationship Id="rId63" Type="http://schemas.openxmlformats.org/officeDocument/2006/relationships/hyperlink" Target="https://www.wikiaves.com.br/gaturamo-rei" TargetMode="External"/><Relationship Id="rId66" Type="http://schemas.openxmlformats.org/officeDocument/2006/relationships/hyperlink" Target="https://www.wikiaves.com.br/wiki/alma-de-gato" TargetMode="External"/><Relationship Id="rId172" Type="http://schemas.openxmlformats.org/officeDocument/2006/relationships/hyperlink" Target="https://www.wikiaves.com.br/wiki/gaviao-asa-de-telha" TargetMode="External"/><Relationship Id="rId65" Type="http://schemas.openxmlformats.org/officeDocument/2006/relationships/hyperlink" Target="https://pt.wikipedia.org/wiki/Gaturamo-rei" TargetMode="External"/><Relationship Id="rId171" Type="http://schemas.openxmlformats.org/officeDocument/2006/relationships/hyperlink" Target="https://www.wikiaves.com.br/wiki/gaviao-asa-de-telha" TargetMode="External"/><Relationship Id="rId68" Type="http://schemas.openxmlformats.org/officeDocument/2006/relationships/hyperlink" Target="https://pt.wikipedia.org/wiki/Alma-de-gato" TargetMode="External"/><Relationship Id="rId170" Type="http://schemas.openxmlformats.org/officeDocument/2006/relationships/hyperlink" Target="https://pt.wikipedia.org/wiki/Gavi%C3%A3o-carij%C3%B3" TargetMode="External"/><Relationship Id="rId67" Type="http://schemas.openxmlformats.org/officeDocument/2006/relationships/hyperlink" Target="https://www.wikiaves.com.br/wiki/alma-de-gato" TargetMode="External"/><Relationship Id="rId60" Type="http://schemas.openxmlformats.org/officeDocument/2006/relationships/hyperlink" Target="https://www.wikiaves.com.br/tangara" TargetMode="External"/><Relationship Id="rId165" Type="http://schemas.openxmlformats.org/officeDocument/2006/relationships/hyperlink" Target="https://www.wikiaves.com.br/carcara" TargetMode="External"/><Relationship Id="rId69" Type="http://schemas.openxmlformats.org/officeDocument/2006/relationships/hyperlink" Target="https://www.wikiaves.com.br/surucua-variado" TargetMode="External"/><Relationship Id="rId164" Type="http://schemas.openxmlformats.org/officeDocument/2006/relationships/hyperlink" Target="https://pt.wikipedia.org/wiki/Basileuterus_culicivorus" TargetMode="External"/><Relationship Id="rId163" Type="http://schemas.openxmlformats.org/officeDocument/2006/relationships/hyperlink" Target="https://www.wikiaves.com.br/pula-pula" TargetMode="External"/><Relationship Id="rId162" Type="http://schemas.openxmlformats.org/officeDocument/2006/relationships/hyperlink" Target="https://www.wikiaves.com.br/pula-pula" TargetMode="External"/><Relationship Id="rId169" Type="http://schemas.openxmlformats.org/officeDocument/2006/relationships/hyperlink" Target="https://www.wikiaves.com.br/gaviao-carijo" TargetMode="External"/><Relationship Id="rId168" Type="http://schemas.openxmlformats.org/officeDocument/2006/relationships/hyperlink" Target="https://www.wikiaves.com.br/gaviao-carijo" TargetMode="External"/><Relationship Id="rId167" Type="http://schemas.openxmlformats.org/officeDocument/2006/relationships/hyperlink" Target="https://pt.wikipedia.org/wiki/Carcar%C3%A1" TargetMode="External"/><Relationship Id="rId166" Type="http://schemas.openxmlformats.org/officeDocument/2006/relationships/hyperlink" Target="https://www.wikiaves.com.br/carcara" TargetMode="External"/><Relationship Id="rId51" Type="http://schemas.openxmlformats.org/officeDocument/2006/relationships/hyperlink" Target="https://www.wikiaves.com.br/sabia-coleira" TargetMode="External"/><Relationship Id="rId50" Type="http://schemas.openxmlformats.org/officeDocument/2006/relationships/hyperlink" Target="https://pt.wikipedia.org/wiki/Turdus_flavipes" TargetMode="External"/><Relationship Id="rId53" Type="http://schemas.openxmlformats.org/officeDocument/2006/relationships/hyperlink" Target="https://pt.wikipedia.org/wiki/Sabi%C3%A1-coleira" TargetMode="External"/><Relationship Id="rId52" Type="http://schemas.openxmlformats.org/officeDocument/2006/relationships/hyperlink" Target="https://www.wikiaves.com.br/wiki/sabia-coleira" TargetMode="External"/><Relationship Id="rId55" Type="http://schemas.openxmlformats.org/officeDocument/2006/relationships/hyperlink" Target="https://www.wikiaves.com.br/wiki/sabia-poca" TargetMode="External"/><Relationship Id="rId161" Type="http://schemas.openxmlformats.org/officeDocument/2006/relationships/hyperlink" Target="https://pt.wikipedia.org/wiki/Curru%C3%ADra" TargetMode="External"/><Relationship Id="rId54" Type="http://schemas.openxmlformats.org/officeDocument/2006/relationships/hyperlink" Target="https://www.wikiaves.com.br/sabia-poca" TargetMode="External"/><Relationship Id="rId160" Type="http://schemas.openxmlformats.org/officeDocument/2006/relationships/hyperlink" Target="https://www.wikiaves.com.br/wiki/corruira" TargetMode="External"/><Relationship Id="rId57" Type="http://schemas.openxmlformats.org/officeDocument/2006/relationships/hyperlink" Target="https://www.wikiaves.com.br/sabia-barranco" TargetMode="External"/><Relationship Id="rId56" Type="http://schemas.openxmlformats.org/officeDocument/2006/relationships/hyperlink" Target="https://pt.wikipedia.org/wiki/Sabi%C3%A1-poca" TargetMode="External"/><Relationship Id="rId159" Type="http://schemas.openxmlformats.org/officeDocument/2006/relationships/hyperlink" Target="https://www.wikiaves.com.br/wiki/corruira" TargetMode="External"/><Relationship Id="rId59" Type="http://schemas.openxmlformats.org/officeDocument/2006/relationships/hyperlink" Target="https://pt.wikipedia.org/wiki/Sabi%C3%A1-barranco" TargetMode="External"/><Relationship Id="rId154" Type="http://schemas.openxmlformats.org/officeDocument/2006/relationships/hyperlink" Target="https://www.wikiaves.com.br/juruviara" TargetMode="External"/><Relationship Id="rId58" Type="http://schemas.openxmlformats.org/officeDocument/2006/relationships/hyperlink" Target="https://www.wikiaves.com.br/wiki/sabia-barranco" TargetMode="External"/><Relationship Id="rId153" Type="http://schemas.openxmlformats.org/officeDocument/2006/relationships/hyperlink" Target="https://www.wikiaves.com.br/juruviara" TargetMode="External"/><Relationship Id="rId152" Type="http://schemas.openxmlformats.org/officeDocument/2006/relationships/hyperlink" Target="https://pt.wikipedia.org/wiki/Araponga_(ave)" TargetMode="External"/><Relationship Id="rId151" Type="http://schemas.openxmlformats.org/officeDocument/2006/relationships/hyperlink" Target="https://www.wikiaves.com.br/araponga" TargetMode="External"/><Relationship Id="rId158" Type="http://schemas.openxmlformats.org/officeDocument/2006/relationships/hyperlink" Target="https://pt.wikipedia.org/wiki/Cyclarhis_gujanensis" TargetMode="External"/><Relationship Id="rId157" Type="http://schemas.openxmlformats.org/officeDocument/2006/relationships/hyperlink" Target="https://www.wikiaves.com.br/pitiguari" TargetMode="External"/><Relationship Id="rId156" Type="http://schemas.openxmlformats.org/officeDocument/2006/relationships/hyperlink" Target="https://www.wikiaves.com.br/pitiguari" TargetMode="External"/><Relationship Id="rId155" Type="http://schemas.openxmlformats.org/officeDocument/2006/relationships/hyperlink" Target="https://pt.wikipedia.org/wiki/Juruviara-sul-americana" TargetMode="External"/><Relationship Id="rId107" Type="http://schemas.openxmlformats.org/officeDocument/2006/relationships/hyperlink" Target="https://pt.wikipedia.org/wiki/Maria-viuvinha" TargetMode="External"/><Relationship Id="rId106" Type="http://schemas.openxmlformats.org/officeDocument/2006/relationships/hyperlink" Target="https://www.wikiaves.com.br/wiki/viuvinha" TargetMode="External"/><Relationship Id="rId105" Type="http://schemas.openxmlformats.org/officeDocument/2006/relationships/hyperlink" Target="https://www.wikiaves.com.br/viuvinha" TargetMode="External"/><Relationship Id="rId104" Type="http://schemas.openxmlformats.org/officeDocument/2006/relationships/hyperlink" Target="https://pt.wikipedia.org/wiki/Cambacica" TargetMode="External"/><Relationship Id="rId109" Type="http://schemas.openxmlformats.org/officeDocument/2006/relationships/hyperlink" Target="https://www.wikiaves.com.br/tico-tico" TargetMode="External"/><Relationship Id="rId108" Type="http://schemas.openxmlformats.org/officeDocument/2006/relationships/hyperlink" Target="https://www.wikiaves.com.br/tico-tico" TargetMode="External"/><Relationship Id="rId103" Type="http://schemas.openxmlformats.org/officeDocument/2006/relationships/hyperlink" Target="https://www.wikiaves.com.br/wiki/cambacica" TargetMode="External"/><Relationship Id="rId102" Type="http://schemas.openxmlformats.org/officeDocument/2006/relationships/hyperlink" Target="https://www.wikiaves.com.br/cambacica" TargetMode="External"/><Relationship Id="rId101" Type="http://schemas.openxmlformats.org/officeDocument/2006/relationships/hyperlink" Target="https://pt.wikipedia.org/wiki/Suiriri" TargetMode="External"/><Relationship Id="rId100" Type="http://schemas.openxmlformats.org/officeDocument/2006/relationships/hyperlink" Target="https://www.wikiaves.com.br/wiki/suiriri" TargetMode="External"/><Relationship Id="rId210" Type="http://schemas.openxmlformats.org/officeDocument/2006/relationships/drawing" Target="../drawings/drawing1.xml"/><Relationship Id="rId129" Type="http://schemas.openxmlformats.org/officeDocument/2006/relationships/hyperlink" Target="https://www.wikiaves.com.br/macuco" TargetMode="External"/><Relationship Id="rId128" Type="http://schemas.openxmlformats.org/officeDocument/2006/relationships/hyperlink" Target="https://pt.wikipedia.org/wiki/Martim-pescador-grande" TargetMode="External"/><Relationship Id="rId127" Type="http://schemas.openxmlformats.org/officeDocument/2006/relationships/hyperlink" Target="https://www.wikiaves.com.br/martim-pescador-grande" TargetMode="External"/><Relationship Id="rId126" Type="http://schemas.openxmlformats.org/officeDocument/2006/relationships/hyperlink" Target="https://www.wikiaves.com.br/martim-pescador-grande" TargetMode="External"/><Relationship Id="rId121" Type="http://schemas.openxmlformats.org/officeDocument/2006/relationships/hyperlink" Target="https://www.wikiaves.com.br/wiki/benedito-de-testa-amarela" TargetMode="External"/><Relationship Id="rId120" Type="http://schemas.openxmlformats.org/officeDocument/2006/relationships/hyperlink" Target="https://www.wikiaves.com.br/wiki/benedito-de-testa-amarela" TargetMode="External"/><Relationship Id="rId125" Type="http://schemas.openxmlformats.org/officeDocument/2006/relationships/hyperlink" Target="https://pt.wikipedia.org/wiki/Arapa%C3%A7u-verde" TargetMode="External"/><Relationship Id="rId124" Type="http://schemas.openxmlformats.org/officeDocument/2006/relationships/hyperlink" Target="https://www.wikiaves.com.br/wiki/arapacu-verde" TargetMode="External"/><Relationship Id="rId123" Type="http://schemas.openxmlformats.org/officeDocument/2006/relationships/hyperlink" Target="https://www.wikiaves.com.br/wiki/arapacu-verde" TargetMode="External"/><Relationship Id="rId122" Type="http://schemas.openxmlformats.org/officeDocument/2006/relationships/hyperlink" Target="https://pt.wikipedia.org/wiki/Benedito-de-testa-amarela" TargetMode="External"/><Relationship Id="rId95" Type="http://schemas.openxmlformats.org/officeDocument/2006/relationships/hyperlink" Target="https://pt.wikipedia.org/wiki/Legatus_leucophaius" TargetMode="External"/><Relationship Id="rId94" Type="http://schemas.openxmlformats.org/officeDocument/2006/relationships/hyperlink" Target="https://www.wikiaves.com.br/wiki/bem-te-vi-pirata" TargetMode="External"/><Relationship Id="rId97" Type="http://schemas.openxmlformats.org/officeDocument/2006/relationships/hyperlink" Target="https://www.wikiaves.com.br/wiki/bentevizinho-de-penacho-vermelho" TargetMode="External"/><Relationship Id="rId96" Type="http://schemas.openxmlformats.org/officeDocument/2006/relationships/hyperlink" Target="https://www.wikiaves.com.br/bentevizinho-de-penacho-vermelho" TargetMode="External"/><Relationship Id="rId99" Type="http://schemas.openxmlformats.org/officeDocument/2006/relationships/hyperlink" Target="https://www.wikiaves.com.br/suiriri" TargetMode="External"/><Relationship Id="rId98" Type="http://schemas.openxmlformats.org/officeDocument/2006/relationships/hyperlink" Target="https://pt.wikipedia.org/wiki/Bentevizinho-de-penacho-vermelho" TargetMode="External"/><Relationship Id="rId91" Type="http://schemas.openxmlformats.org/officeDocument/2006/relationships/hyperlink" Target="https://www.wikiaves.com.br/wiki/bem-te-vi" TargetMode="External"/><Relationship Id="rId90" Type="http://schemas.openxmlformats.org/officeDocument/2006/relationships/hyperlink" Target="https://www.wikiaves.com.br/bem-te-vi" TargetMode="External"/><Relationship Id="rId93" Type="http://schemas.openxmlformats.org/officeDocument/2006/relationships/hyperlink" Target="https://www.wikiaves.com.br/bem-te-vi-pirata" TargetMode="External"/><Relationship Id="rId92" Type="http://schemas.openxmlformats.org/officeDocument/2006/relationships/hyperlink" Target="https://pt.wikipedia.org/wiki/Bem-te-vi" TargetMode="External"/><Relationship Id="rId118" Type="http://schemas.openxmlformats.org/officeDocument/2006/relationships/hyperlink" Target="https://www.wikiaves.com.br/pica-pau-de-cabeca-amarela" TargetMode="External"/><Relationship Id="rId117" Type="http://schemas.openxmlformats.org/officeDocument/2006/relationships/hyperlink" Target="https://www.wikiaves.com.br/pica-pau-de-cabeca-amarela" TargetMode="External"/><Relationship Id="rId116" Type="http://schemas.openxmlformats.org/officeDocument/2006/relationships/hyperlink" Target="https://pt.wikipedia.org/wiki/Pica-pau-rei" TargetMode="External"/><Relationship Id="rId115" Type="http://schemas.openxmlformats.org/officeDocument/2006/relationships/hyperlink" Target="https://www.wikiaves.com.br/pica-pau-rei" TargetMode="External"/><Relationship Id="rId119" Type="http://schemas.openxmlformats.org/officeDocument/2006/relationships/hyperlink" Target="https://pt.wikipedia.org/wiki/Pica-pau-de-cabe%C3%A7a-amarela" TargetMode="External"/><Relationship Id="rId110" Type="http://schemas.openxmlformats.org/officeDocument/2006/relationships/hyperlink" Target="https://pt.wikipedia.org/wiki/Tico-tico" TargetMode="External"/><Relationship Id="rId114" Type="http://schemas.openxmlformats.org/officeDocument/2006/relationships/hyperlink" Target="https://www.wikiaves.com.br/pica-pau-rei" TargetMode="External"/><Relationship Id="rId113" Type="http://schemas.openxmlformats.org/officeDocument/2006/relationships/hyperlink" Target="https://pt.wikipedia.org/wiki/Chorozinho-de-asa-vermelha" TargetMode="External"/><Relationship Id="rId112" Type="http://schemas.openxmlformats.org/officeDocument/2006/relationships/hyperlink" Target="https://www.wikiaves.com.br/wiki/chorozinho-de-asa-vermelha" TargetMode="External"/><Relationship Id="rId111" Type="http://schemas.openxmlformats.org/officeDocument/2006/relationships/hyperlink" Target="https://www.wikiaves.com.br/wiki/chorozinho-de-asa-vermelha" TargetMode="External"/><Relationship Id="rId206" Type="http://schemas.openxmlformats.org/officeDocument/2006/relationships/hyperlink" Target="https://pt.wikipedia.org/wiki/Selenidera_maculirostris" TargetMode="External"/><Relationship Id="rId205" Type="http://schemas.openxmlformats.org/officeDocument/2006/relationships/hyperlink" Target="https://www.wikiaves.com.br/aracari-poca" TargetMode="External"/><Relationship Id="rId204" Type="http://schemas.openxmlformats.org/officeDocument/2006/relationships/hyperlink" Target="https://www.wikiaves.com.br/aracari-poca" TargetMode="External"/><Relationship Id="rId203" Type="http://schemas.openxmlformats.org/officeDocument/2006/relationships/hyperlink" Target="https://pt.wikipedia.org/wiki/Topetinho-verde" TargetMode="External"/><Relationship Id="rId209" Type="http://schemas.openxmlformats.org/officeDocument/2006/relationships/hyperlink" Target="https://pt.wikipedia.org/wiki/Tucano-de-bico-verde" TargetMode="External"/><Relationship Id="rId208" Type="http://schemas.openxmlformats.org/officeDocument/2006/relationships/hyperlink" Target="https://www.wikiaves.com.br/tucano-de-bico-verde" TargetMode="External"/><Relationship Id="rId207" Type="http://schemas.openxmlformats.org/officeDocument/2006/relationships/hyperlink" Target="https://www.wikiaves.com.br/tucano-de-bico-verde" TargetMode="External"/><Relationship Id="rId202" Type="http://schemas.openxmlformats.org/officeDocument/2006/relationships/hyperlink" Target="https://www.wikiaves.com.br/wiki/topetinho-verde" TargetMode="External"/><Relationship Id="rId201" Type="http://schemas.openxmlformats.org/officeDocument/2006/relationships/hyperlink" Target="https://www.wikiaves.com.br/wiki/topetinho-verde" TargetMode="External"/><Relationship Id="rId200" Type="http://schemas.openxmlformats.org/officeDocument/2006/relationships/hyperlink" Target="https://pt.wikipedia.org/wiki/Beija-flor_de-veste-pret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3.33"/>
    <col customWidth="1" min="2" max="4" width="32.44"/>
    <col customWidth="1" min="5" max="6" width="33.11"/>
    <col customWidth="1" min="7" max="7" width="12.78"/>
    <col customWidth="1" min="8" max="8" width="13.78"/>
    <col customWidth="1" min="9" max="9" width="73.44"/>
    <col customWidth="1" min="10" max="43" width="8.78"/>
  </cols>
  <sheetData>
    <row r="1" ht="15.75" customHeight="1">
      <c r="A1" s="1" t="s">
        <v>0</v>
      </c>
      <c r="B1" s="2" t="s">
        <v>1</v>
      </c>
      <c r="C1" s="3" t="s">
        <v>2</v>
      </c>
      <c r="D1" s="1" t="s">
        <v>3</v>
      </c>
      <c r="E1" s="3" t="s">
        <v>4</v>
      </c>
      <c r="F1" s="1" t="s">
        <v>5</v>
      </c>
      <c r="G1" s="4" t="s">
        <v>6</v>
      </c>
      <c r="H1" s="4" t="s">
        <v>7</v>
      </c>
      <c r="I1" s="5" t="s">
        <v>8</v>
      </c>
    </row>
    <row r="2" ht="15.75" customHeight="1">
      <c r="A2" s="6" t="s">
        <v>9</v>
      </c>
      <c r="B2" s="7" t="s">
        <v>10</v>
      </c>
      <c r="C2" s="8" t="s">
        <v>11</v>
      </c>
      <c r="D2" s="9" t="s">
        <v>12</v>
      </c>
      <c r="E2" s="9" t="s">
        <v>13</v>
      </c>
      <c r="F2" s="10" t="s">
        <v>14</v>
      </c>
      <c r="G2" s="11" t="s">
        <v>15</v>
      </c>
      <c r="H2" s="11" t="s">
        <v>16</v>
      </c>
      <c r="I2" s="12" t="str">
        <f>IFERROR(__xludf.DUMMYFUNCTION("IFERROR(INDEX(IMPORTXML(B2,""//h2[@id='caracteristicas']/following-sibling::div/p""),1),""Not Found"")")," Mede 13,5 cm de comprimento e pesa 18,5g (macho). O macho é verde-azulado, 
com o alto e os lados da cabeça pretos e os olhos vermelhos, e a fêmea é 
verde-opaca, com a garganta e o centro da barriga amarelados e os olhos 
escuros. Tem bico relativamente"&amp;" largo, de mandíbula amarelo-clara. ")</f>
        <v> Mede 13,5 cm de comprimento e pesa 18,5g (macho). O macho é verde-azulado, 
com o alto e os lados da cabeça pretos e os olhos vermelhos, e a fêmea é 
verde-opaca, com a garganta e o centro da barriga amarelados e os olhos 
escuros. Tem bico relativamente largo, de mandíbula amarelo-clara. </v>
      </c>
      <c r="L2" s="13"/>
    </row>
    <row r="3" ht="15.75" customHeight="1">
      <c r="A3" s="6" t="s">
        <v>17</v>
      </c>
      <c r="B3" s="7" t="s">
        <v>18</v>
      </c>
      <c r="C3" s="14" t="s">
        <v>19</v>
      </c>
      <c r="D3" s="10" t="s">
        <v>20</v>
      </c>
      <c r="E3" s="9" t="s">
        <v>13</v>
      </c>
      <c r="F3" s="10" t="s">
        <v>14</v>
      </c>
      <c r="G3" s="11" t="s">
        <v>15</v>
      </c>
      <c r="H3" s="11" t="s">
        <v>16</v>
      </c>
      <c r="I3" s="12" t="str">
        <f>IFERROR(__xludf.DUMMYFUNCTION("IFERROR(INDEX(IMPORTXML(B3,""//h2[@id='caracteristicas']/following-sibling::div/p""),1),""Not Found"")")," Mede aproximadamente 13 centímetros de comprimento e pesa, em média, 16 
gramas. Apresenta acentuado dimorfismo sexual: o macho é azul e negro, com 
as pernas rosadas, enquanto a fêmea é verde, com a cabeça azulada e pernas 
alaranjadas. Seu canto é um g"&amp;"orjear fraco. ")</f>
        <v> Mede aproximadamente 13 centímetros de comprimento e pesa, em média, 16 
gramas. Apresenta acentuado dimorfismo sexual: o macho é azul e negro, com 
as pernas rosadas, enquanto a fêmea é verde, com a cabeça azulada e pernas 
alaranjadas. Seu canto é um gorjear fraco. </v>
      </c>
      <c r="J3" s="15"/>
      <c r="K3" s="15"/>
      <c r="L3" s="15"/>
      <c r="M3" s="15"/>
      <c r="N3" s="15"/>
      <c r="O3" s="15"/>
      <c r="P3" s="15"/>
    </row>
    <row r="4" ht="15.75" customHeight="1">
      <c r="A4" s="6" t="s">
        <v>21</v>
      </c>
      <c r="B4" s="7" t="s">
        <v>22</v>
      </c>
      <c r="C4" s="8" t="s">
        <v>23</v>
      </c>
      <c r="D4" s="9" t="s">
        <v>24</v>
      </c>
      <c r="E4" s="9" t="s">
        <v>13</v>
      </c>
      <c r="F4" s="10" t="s">
        <v>25</v>
      </c>
      <c r="G4" s="11" t="s">
        <v>16</v>
      </c>
      <c r="H4" s="11" t="s">
        <v>16</v>
      </c>
      <c r="I4" s="12" t="str">
        <f>IFERROR(__xludf.DUMMYFUNCTION("IFERROR(INDEX(IMPORTXML(B4,""//h2[@id='caracteristicas']/following-sibling::div/p""),1),""Not Found"")")," Mede cerca de 13,5 centímetros de comprimento e pesa cerca de 18 gramas.")</f>
        <v> Mede cerca de 13,5 centímetros de comprimento e pesa cerca de 18 gramas.</v>
      </c>
      <c r="J4" s="16"/>
      <c r="K4" s="12" t="str">
        <f>IFERROR(__xludf.DUMMYFUNCTION("""COMPUTED_VALUE""")," O macho adulto apresenta plumagem complexa e brilhante. Cabeça, nuca e 
queixo são de coloração turquesa. Uma banda larga verde-amarelo pálido 
atravessa a nuca e o manto superior, e estende-se em torno dos lados do 
pescoço para até a garganta. Os ombro"&amp;"s são negros e as coberteiras 
primárias azul violeta. O uropígio é amarelo-alaranjado e a parte superior 
da cauda azul-turquesa. A cauda é preta com bordas verde-claras na base, 
ficando azul turquesa distalmente. As penas de voo são pretas com bordas 
"&amp;"largas verdes pálidos. Nas partes inferiores, parte inferior da garganta e 
o peito superior são negros, a parte central do peito é azul-turquesa. O 
ventre é verde. O bico é preto e sua base apresenta plumagem preta. Os 
olhos são escuros com uma região "&amp;"ao redor dos olhos com plumagem preta. Os 
tarsos e pés são pretos.")</f>
        <v> O macho adulto apresenta plumagem complexa e brilhante. Cabeça, nuca e 
queixo são de coloração turquesa. Uma banda larga verde-amarelo pálido 
atravessa a nuca e o manto superior, e estende-se em torno dos lados do 
pescoço para até a garganta. Os ombros são negros e as coberteiras 
primárias azul violeta. O uropígio é amarelo-alaranjado e a parte superior 
da cauda azul-turquesa. A cauda é preta com bordas verde-claras na base, 
ficando azul turquesa distalmente. As penas de voo são pretas com bordas 
largas verdes pálidos. Nas partes inferiores, parte inferior da garganta e 
o peito superior são negros, a parte central do peito é azul-turquesa. O 
ventre é verde. O bico é preto e sua base apresenta plumagem preta. Os 
olhos são escuros com uma região ao redor dos olhos com plumagem preta. Os 
tarsos e pés são pretos.</v>
      </c>
      <c r="L4" s="16"/>
      <c r="M4" s="16" t="str">
        <f>IFERROR(__xludf.DUMMYFUNCTION("""COMPUTED_VALUE""")," A fêmea tem a plumagem bastante semelhante a plumagem do macho, mas ela 
apresenta a coloração menos intensa aparentando ter as cores mais apagadas. 
Um detalhe bastante útil na distinção entre machos e fêmeas é a coloração 
do dorso: as fêmeas possuem d"&amp;"orso esverdeado enquanto os machos tem a mesma 
área completamente preta")</f>
        <v> A fêmea tem a plumagem bastante semelhante a plumagem do macho, mas ela 
apresenta a coloração menos intensa aparentando ter as cores mais apagadas. 
Um detalhe bastante útil na distinção entre machos e fêmeas é a coloração 
do dorso: as fêmeas possuem dorso esverdeado enquanto os machos tem a mesma 
área completamente preta</v>
      </c>
      <c r="N4" s="16"/>
      <c r="O4" s="16" t="str">
        <f>IFERROR(__xludf.DUMMYFUNCTION("""COMPUTED_VALUE""")," O imaturo é muito parecido com a fêmea, mas muito menos colorido do que os 
adultos. Falta ao imaturo a cor viva do uropígio do adulto. ")</f>
        <v> O imaturo é muito parecido com a fêmea, mas muito menos colorido do que os 
adultos. Falta ao imaturo a cor viva do uropígio do adulto. </v>
      </c>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row>
    <row r="5" ht="15.75" customHeight="1">
      <c r="A5" s="6" t="s">
        <v>26</v>
      </c>
      <c r="B5" s="7" t="s">
        <v>27</v>
      </c>
      <c r="C5" s="8" t="s">
        <v>28</v>
      </c>
      <c r="D5" s="9" t="s">
        <v>29</v>
      </c>
      <c r="E5" s="9" t="s">
        <v>13</v>
      </c>
      <c r="F5" s="10" t="s">
        <v>30</v>
      </c>
      <c r="G5" s="11" t="s">
        <v>16</v>
      </c>
      <c r="H5" s="11" t="s">
        <v>15</v>
      </c>
      <c r="I5" s="12" t="str">
        <f>IFERROR(__xludf.DUMMYFUNCTION("IFERROR(INDEX(IMPORTXML(B5,""//h2[@id='caracteristicas']/following-sibling::div/p""),1),""Not Found"")")," Mede entre 20 e 21 centímetros de comprimento e pesa entre 36,5 e 51,5 
gramas.")</f>
        <v> Mede entre 20 e 21 centímetros de comprimento e pesa entre 36,5 e 51,5 
gramas.</v>
      </c>
      <c r="J5" s="15"/>
      <c r="K5" s="15" t="str">
        <f>IFERROR(__xludf.DUMMYFUNCTION("""COMPUTED_VALUE""")," Pássaro ferrugíneo uniforme, com cabeça cinzenta e garganta estriada de 
branco. Grandes olhos escuros, tarsos e pés de coloração cinza. Bico longo, 
chato e rosado. ")</f>
        <v> Pássaro ferrugíneo uniforme, com cabeça cinzenta e garganta estriada de 
branco. Grandes olhos escuros, tarsos e pés de coloração cinza. Bico longo, 
chato e rosado. </v>
      </c>
    </row>
    <row r="6" ht="15.75" customHeight="1">
      <c r="A6" s="6" t="s">
        <v>31</v>
      </c>
      <c r="B6" s="7" t="s">
        <v>32</v>
      </c>
      <c r="C6" s="8" t="s">
        <v>33</v>
      </c>
      <c r="D6" s="9" t="s">
        <v>34</v>
      </c>
      <c r="E6" s="9" t="s">
        <v>13</v>
      </c>
      <c r="F6" s="10" t="s">
        <v>14</v>
      </c>
      <c r="G6" s="11" t="s">
        <v>16</v>
      </c>
      <c r="H6" s="11" t="s">
        <v>16</v>
      </c>
      <c r="I6" s="12" t="str">
        <f>IFERROR(__xludf.DUMMYFUNCTION("IFERROR(INDEX(IMPORTXML(B6,""//h2[@id='caracteristicas']/following-sibling::div/p""),1),""Not Found"")")," Mede entre 10 e 13 centímetros de comprimento e pesa entre 16 e 21 gramas.")</f>
        <v> Mede entre 10 e 13 centímetros de comprimento e pesa entre 16 e 21 gramas.</v>
      </c>
      <c r="J6" s="15"/>
      <c r="K6" s="15" t="str">
        <f>IFERROR(__xludf.DUMMYFUNCTION("""COMPUTED_VALUE""")," Apresenta a evidente faixa vermelho vivo ao redor do pescoço e coroa azul 
metálico no alto da cabeça. Nas fêmeas a faixa vermelha é mais apagada, 
tendendo à tonalidade canela. Corpo em tonalidade verde uniforme, com dorso 
negro e faixa amarela sobre a"&amp;"s penas verdes das asas. As aves das 
populações do Sul do Brasil, tendem a apresentar tamanho corporal acima da 
média de 11 centímetros de comprimento. Por sua vez, as saíras-militares do 
Nordeste são menores, com tamanho abaixo da média padrão. ")</f>
        <v> Apresenta a evidente faixa vermelho vivo ao redor do pescoço e coroa azul 
metálico no alto da cabeça. Nas fêmeas a faixa vermelha é mais apagada, 
tendendo à tonalidade canela. Corpo em tonalidade verde uniforme, com dorso 
negro e faixa amarela sobre as penas verdes das asas. As aves das 
populações do Sul do Brasil, tendem a apresentar tamanho corporal acima da 
média de 11 centímetros de comprimento. Por sua vez, as saíras-militares do 
Nordeste são menores, com tamanho abaixo da média padrão. </v>
      </c>
      <c r="L6" s="15"/>
      <c r="M6" s="15"/>
      <c r="N6" s="15"/>
      <c r="O6" s="15"/>
      <c r="P6" s="15"/>
      <c r="Q6" s="15"/>
      <c r="R6" s="15"/>
      <c r="S6" s="15"/>
      <c r="T6" s="15"/>
      <c r="U6" s="15"/>
    </row>
    <row r="7" ht="15.75" customHeight="1">
      <c r="A7" s="6" t="s">
        <v>35</v>
      </c>
      <c r="B7" s="7" t="s">
        <v>36</v>
      </c>
      <c r="C7" s="8" t="s">
        <v>37</v>
      </c>
      <c r="D7" s="9" t="s">
        <v>38</v>
      </c>
      <c r="E7" s="9" t="s">
        <v>13</v>
      </c>
      <c r="F7" s="10" t="s">
        <v>14</v>
      </c>
      <c r="G7" s="11" t="s">
        <v>15</v>
      </c>
      <c r="H7" s="11" t="s">
        <v>15</v>
      </c>
      <c r="I7" s="12" t="str">
        <f>IFERROR(__xludf.DUMMYFUNCTION("IFERROR(INDEX(IMPORTXML(B7,""//h2[@id='caracteristicas']/following-sibling::div/p""),1),""Not Found"")")," Mede entre 17 e 18 centímetros de comprimento e pesa 27-48 g.")</f>
        <v> Mede entre 17 e 18 centímetros de comprimento e pesa 27-48 g.</v>
      </c>
      <c r="J7" s="15"/>
      <c r="K7" s="15" t="str">
        <f>IFERROR(__xludf.DUMMYFUNCTION("""COMPUTED_VALUE""")," Os três sanhaços, ")</f>
        <v> Os três sanhaços, </v>
      </c>
      <c r="L7" s="15" t="str">
        <f>IFERROR(__xludf.DUMMYFUNCTION("""COMPUTED_VALUE"""),"sanhaco-cinzento")</f>
        <v>sanhaco-cinzento</v>
      </c>
      <c r="M7" s="15" t="str">
        <f>IFERROR(__xludf.DUMMYFUNCTION("""COMPUTED_VALUE"""),", ")</f>
        <v>, </v>
      </c>
      <c r="N7" s="15" t="str">
        <f>IFERROR(__xludf.DUMMYFUNCTION("""COMPUTED_VALUE"""),"sanhaço-da-amazônia")</f>
        <v>sanhaço-da-amazônia</v>
      </c>
      <c r="O7" s="15" t="str">
        <f>IFERROR(__xludf.DUMMYFUNCTION("""COMPUTED_VALUE""")," e o sanhaço-do-coqueiro possuem porte e hábitos semelhantes. Suas cores, 
entretanto, os diferenciam bem. Como costumam pousar nas partes mais altas 
da vegetação, muitas vezes são vistos contra o céu, em situações de 
iluminação onde os contrastes desap"&amp;"arecem. Nessas situações, quando o 
sanhaço-do-coqueiro voa mostra uma faixa clara (na verdade, amarelada) no 
meio das ")</f>
        <v> e o sanhaço-do-coqueiro possuem porte e hábitos semelhantes. Suas cores, 
entretanto, os diferenciam bem. Como costumam pousar nas partes mais altas 
da vegetação, muitas vezes são vistos contra o céu, em situações de 
iluminação onde os contrastes desaparecem. Nessas situações, quando o 
sanhaço-do-coqueiro voa mostra uma faixa clara (na verdade, amarelada) no 
meio das </v>
      </c>
      <c r="P7" s="15" t="str">
        <f>IFERROR(__xludf.DUMMYFUNCTION("""COMPUTED_VALUE"""),"penas")</f>
        <v>penas</v>
      </c>
      <c r="Q7" s="15" t="str">
        <f>IFERROR(__xludf.DUMMYFUNCTION("""COMPUTED_VALUE""")," longas da asa, característica marcante dessa espécie. A cor esverdeada 
dominante é suficiente para determiná-lo, quando as condições de luz o 
permitem.")</f>
        <v> longas da asa, característica marcante dessa espécie. A cor esverdeada 
dominante é suficiente para determiná-lo, quando as condições de luz o 
permitem.</v>
      </c>
      <c r="R7" s="15"/>
      <c r="S7" s="15" t="str">
        <f>IFERROR(__xludf.DUMMYFUNCTION("""COMPUTED_VALUE""")," Notável também é seu vínculo com ")</f>
        <v> Notável também é seu vínculo com </v>
      </c>
      <c r="T7" s="15" t="str">
        <f>IFERROR(__xludf.DUMMYFUNCTION("""COMPUTED_VALUE"""),"palmeiras")</f>
        <v>palmeiras</v>
      </c>
      <c r="U7" s="15" t="str">
        <f>IFERROR(__xludf.DUMMYFUNCTION("""COMPUTED_VALUE"""),". ")</f>
        <v>. </v>
      </c>
      <c r="V7" s="15"/>
      <c r="W7" s="15"/>
      <c r="X7" s="15"/>
      <c r="Y7" s="15"/>
    </row>
    <row r="8" ht="15.75" customHeight="1">
      <c r="A8" s="6" t="s">
        <v>39</v>
      </c>
      <c r="B8" s="7" t="s">
        <v>40</v>
      </c>
      <c r="C8" s="8" t="s">
        <v>41</v>
      </c>
      <c r="D8" s="9" t="s">
        <v>42</v>
      </c>
      <c r="E8" s="9" t="s">
        <v>13</v>
      </c>
      <c r="F8" s="10" t="s">
        <v>14</v>
      </c>
      <c r="G8" s="11" t="s">
        <v>16</v>
      </c>
      <c r="H8" s="11" t="s">
        <v>15</v>
      </c>
      <c r="I8" s="12" t="str">
        <f>IFERROR(__xludf.DUMMYFUNCTION("IFERROR(INDEX(IMPORTXML(B8,""//h2[@id='caracteristicas']/following-sibling::div/p""),1),""Not Found"")")," Espécie facilmente identificável pela coloração azul-acinzentada escura e 
coberteiras superiores das asas amarelas, diferenciando-se bem das outras 
espécies de sanhaços. Em alguns indivíduos, independente do sexo e da 
distribuição geográfica, o amarel"&amp;"o das primárias estende-se por todas as 
rêmiges, chegando até a região uropiginal. Mede cerca de 18 cm e pesa 43 
gramas. ")</f>
        <v> Espécie facilmente identificável pela coloração azul-acinzentada escura e 
coberteiras superiores das asas amarelas, diferenciando-se bem das outras 
espécies de sanhaços. Em alguns indivíduos, independente do sexo e da 
distribuição geográfica, o amarelo das primárias estende-se por todas as 
rêmiges, chegando até a região uropiginal. Mede cerca de 18 cm e pesa 43 
gramas. </v>
      </c>
      <c r="J8" s="15" t="str">
        <f>IFERROR(__xludf.DUMMYFUNCTION("""COMPUTED_VALUE"""),"Espécie sem dimorfismo sexual.")</f>
        <v>Espécie sem dimorfismo sexual.</v>
      </c>
    </row>
    <row r="9" ht="15.75" customHeight="1">
      <c r="A9" s="6" t="s">
        <v>43</v>
      </c>
      <c r="B9" s="8" t="s">
        <v>44</v>
      </c>
      <c r="C9" s="14" t="s">
        <v>45</v>
      </c>
      <c r="D9" s="10" t="s">
        <v>46</v>
      </c>
      <c r="E9" s="9" t="s">
        <v>47</v>
      </c>
      <c r="F9" s="10" t="s">
        <v>48</v>
      </c>
      <c r="G9" s="11" t="s">
        <v>16</v>
      </c>
      <c r="H9" s="11" t="s">
        <v>16</v>
      </c>
      <c r="I9" s="12" t="str">
        <f>IFERROR(__xludf.DUMMYFUNCTION("IFERROR(INDEX(IMPORTXML(B9,""//h2[@id='caracteristicas']/following-sibling::div/p""),1),""Not Found"")")," Mede 18 cm de comprimento e pesa 43 g (macho). Possui corpo cheio e 
compacto, bico grosso, forte, ponta fina, pernas curtas e fortes com dedos 
portando unhas aguçadas, asas e cauda longa. A coloração geral da plumagem 
é azul-ardósia dorsalmente e azul"&amp;"-acinzentada na parte inferior, sendo mais 
clara na garganta. No encontro das asas, a coloração azul é mais forte. A 
coloração da fêmea é um pouco mais clara. ")</f>
        <v> Mede 18 cm de comprimento e pesa 43 g (macho). Possui corpo cheio e 
compacto, bico grosso, forte, ponta fina, pernas curtas e fortes com dedos 
portando unhas aguçadas, asas e cauda longa. A coloração geral da plumagem 
é azul-ardósia dorsalmente e azul-acinzentada na parte inferior, sendo mais 
clara na garganta. No encontro das asas, a coloração azul é mais forte. A 
coloração da fêmea é um pouco mais clara. </v>
      </c>
      <c r="J9" s="16"/>
      <c r="K9" s="16"/>
      <c r="L9" s="16"/>
      <c r="M9" s="16"/>
      <c r="N9" s="16"/>
      <c r="O9" s="16"/>
      <c r="P9" s="16"/>
      <c r="Q9" s="16"/>
      <c r="R9" s="16"/>
      <c r="S9" s="16"/>
      <c r="T9" s="16"/>
      <c r="U9" s="16"/>
    </row>
    <row r="10" ht="15.75" customHeight="1">
      <c r="A10" s="6" t="s">
        <v>49</v>
      </c>
      <c r="B10" s="7" t="s">
        <v>50</v>
      </c>
      <c r="C10" s="8" t="s">
        <v>51</v>
      </c>
      <c r="D10" s="9" t="s">
        <v>52</v>
      </c>
      <c r="E10" s="9" t="s">
        <v>13</v>
      </c>
      <c r="F10" s="10" t="s">
        <v>53</v>
      </c>
      <c r="G10" s="11" t="s">
        <v>15</v>
      </c>
      <c r="H10" s="11" t="s">
        <v>16</v>
      </c>
      <c r="I10" s="12" t="str">
        <f>IFERROR(__xludf.DUMMYFUNCTION("IFERROR(INDEX(IMPORTXML(B10,""//h2[@id='caracteristicas']/following-sibling::div/p""),1),""Not Found"")")," Mede entre 16 e 19 centímetros de comprimento e pesa entre 28 e 43 gramas. 
(Hilty, 2011).")</f>
        <v> Mede entre 16 e 19 centímetros de comprimento e pesa entre 28 e 43 gramas. 
(Hilty, 2011).</v>
      </c>
      <c r="J10" s="15"/>
      <c r="K10" s="15" t="str">
        <f>IFERROR(__xludf.DUMMYFUNCTION("""COMPUTED_VALUE""")," O adulto de ")</f>
        <v> O adulto de </v>
      </c>
      <c r="L10" s="15" t="str">
        <f>IFERROR(__xludf.DUMMYFUNCTION("""COMPUTED_VALUE"""),"Thraupis sayaca")</f>
        <v>Thraupis sayaca</v>
      </c>
      <c r="M10" s="15" t="str">
        <f>IFERROR(__xludf.DUMMYFUNCTION("""COMPUTED_VALUE""")," apresenta coloração geral cinzenta, com as asas e cauda de coloração azul 
turquesa. Sua cabeça é cinza com uma fina e tênue faixa pós ocular cinza 
escuro que nem sempre está visível. Testa, coroa e nuca também cinza. Os 
lores são cinza, da mesma color"&amp;"ação da cabeça. A coloração do manto é 
cinza, porém mais escuro que a nuca. As penas coberteiras são cinza 
azuladas. As rêmiges apresentam bela coloração cinza azulada, com reflexos 
metálicos esverdeados e com as bordas internas das penas escuras. O 
u"&amp;"ropígio, assim como as penas supracaudais, são cinza azulados e as 
retrizes são azuladas com os mesmos reflexos metálicos verdes das rêmiges. 
A garganta, peito e ventre são cinza e o crisso é branco.")</f>
        <v> apresenta coloração geral cinzenta, com as asas e cauda de coloração azul 
turquesa. Sua cabeça é cinza com uma fina e tênue faixa pós ocular cinza 
escuro que nem sempre está visível. Testa, coroa e nuca também cinza. Os 
lores são cinza, da mesma coloração da cabeça. A coloração do manto é 
cinza, porém mais escuro que a nuca. As penas coberteiras são cinza 
azuladas. As rêmiges apresentam bela coloração cinza azulada, com reflexos 
metálicos esverdeados e com as bordas internas das penas escuras. O 
uropígio, assim como as penas supracaudais, são cinza azulados e as 
retrizes são azuladas com os mesmos reflexos metálicos verdes das rêmiges. 
A garganta, peito e ventre são cinza e o crisso é branco.</v>
      </c>
      <c r="N10" s="15"/>
      <c r="O10" s="15" t="str">
        <f>IFERROR(__xludf.DUMMYFUNCTION("""COMPUTED_VALUE""")," Os olhos são escuros e o bico apresenta coloração cinza escuro, sendo a 
porção proximal do bico de coloração mais clara que a porção distal. Tarsos 
e pés são cinza.")</f>
        <v> Os olhos são escuros e o bico apresenta coloração cinza escuro, sendo a 
porção proximal do bico de coloração mais clara que a porção distal. Tarsos 
e pés são cinza.</v>
      </c>
      <c r="P10" s="15"/>
      <c r="Q10" s="15" t="str">
        <f>IFERROR(__xludf.DUMMYFUNCTION("""COMPUTED_VALUE""")," O jovem ou imaturo é similar ao adulto da espécie, entretanto sua 
coloração é mais esverdeada, mais pálida e mais opaca que este.")</f>
        <v> O jovem ou imaturo é similar ao adulto da espécie, entretanto sua 
coloração é mais esverdeada, mais pálida e mais opaca que este.</v>
      </c>
      <c r="R10" s="15"/>
      <c r="S10" s="15" t="str">
        <f>IFERROR(__xludf.DUMMYFUNCTION("""COMPUTED_VALUE""")," Os filhotes são cinzentos e apresentam comissura labial rosada. ")</f>
        <v> Os filhotes são cinzentos e apresentam comissura labial rosada. </v>
      </c>
    </row>
    <row r="11" ht="15.75" customHeight="1">
      <c r="A11" s="6" t="s">
        <v>54</v>
      </c>
      <c r="B11" s="8" t="s">
        <v>55</v>
      </c>
      <c r="C11" s="8" t="s">
        <v>56</v>
      </c>
      <c r="D11" s="9" t="s">
        <v>57</v>
      </c>
      <c r="E11" s="9" t="s">
        <v>13</v>
      </c>
      <c r="F11" s="17" t="s">
        <v>53</v>
      </c>
      <c r="G11" s="11" t="s">
        <v>16</v>
      </c>
      <c r="H11" s="11" t="s">
        <v>16</v>
      </c>
      <c r="I11" s="16" t="str">
        <f>IFERROR(__xludf.DUMMYFUNCTION("IFERROR(INDEX(IMPORTXML(B11,""//h2[@id='caracteristicas']/following-sibling::div/p""),1),""Not Found"")")," Mede 11,5 centímetros de comprimento e pesa cerca de 16,5 gramas (macho). ")</f>
        <v> Mede 11,5 centímetros de comprimento e pesa cerca de 16,5 gramas (macho). </v>
      </c>
      <c r="J11" s="16"/>
      <c r="K11" s="16"/>
      <c r="L11" s="16"/>
      <c r="M11" s="16"/>
    </row>
    <row r="12" ht="15.75" customHeight="1">
      <c r="A12" s="6" t="s">
        <v>58</v>
      </c>
      <c r="B12" s="18" t="s">
        <v>59</v>
      </c>
      <c r="C12" s="19" t="s">
        <v>60</v>
      </c>
      <c r="D12" s="20" t="s">
        <v>61</v>
      </c>
      <c r="E12" s="9" t="s">
        <v>13</v>
      </c>
      <c r="F12" s="17" t="s">
        <v>53</v>
      </c>
      <c r="G12" s="11" t="s">
        <v>16</v>
      </c>
      <c r="H12" s="11" t="s">
        <v>16</v>
      </c>
      <c r="I12" s="16" t="str">
        <f>IFERROR(__xludf.DUMMYFUNCTION("IFERROR(INDEX(IMPORTXML(B12,""//h2[@id='caracteristicas']/following-sibling::div/p""),1),""Not Found"")")," Mede entre 18 e 19 centímetros de comprimento e pesa entre 27,9 e 35,5 
gramas. (Hilty, 2016).")</f>
        <v> Mede entre 18 e 19 centímetros de comprimento e pesa entre 27,9 e 35,5 
gramas. (Hilty, 2016).</v>
      </c>
      <c r="J12" s="16"/>
      <c r="K12" s="16" t="str">
        <f>IFERROR(__xludf.DUMMYFUNCTION("""COMPUTED_VALUE""")," A plumagem do macho é de um vermelho-vivo, que deu origem ao nome. Parte 
das asas e da cauda são pretas. A espécie apresenta ")</f>
        <v> A plumagem do macho é de um vermelho-vivo, que deu origem ao nome. Parte 
das asas e da cauda são pretas. A espécie apresenta </v>
      </c>
      <c r="L12" s="16" t="str">
        <f>IFERROR(__xludf.DUMMYFUNCTION("""COMPUTED_VALUE"""),"dimorfismo sexual")</f>
        <v>dimorfismo sexual</v>
      </c>
      <c r="M12" s="16" t="str">
        <f>IFERROR(__xludf.DUMMYFUNCTION("""COMPUTED_VALUE"""),", sendo a plumagem da fêmea menos vistosa, de cor parda nas partes 
superiores e marrom-avermelhada nas inferiores.")</f>
        <v>, sendo a plumagem da fêmea menos vistosa, de cor parda nas partes 
superiores e marrom-avermelhada nas inferiores.</v>
      </c>
      <c r="N12" s="16"/>
      <c r="O12" s="16" t="str">
        <f>IFERROR(__xludf.DUMMYFUNCTION("""COMPUTED_VALUE""")," O macho imaturo é semelhante à fêmea na plumagem, mas o bico é totalmente 
negro e não pardo. Uma característica importante do gênero ")</f>
        <v> O macho imaturo é semelhante à fêmea na plumagem, mas o bico é totalmente 
negro e não pardo. Uma característica importante do gênero </v>
      </c>
      <c r="P12" s="16" t="str">
        <f>IFERROR(__xludf.DUMMYFUNCTION("""COMPUTED_VALUE"""),"Ramphocelus")</f>
        <v>Ramphocelus</v>
      </c>
      <c r="Q12" s="16" t="str">
        <f>IFERROR(__xludf.DUMMYFUNCTION("""COMPUTED_VALUE"""),", e que ocorre exclusivamente no sexo masculino, é a calosidade branca 
reluzente na base da mandíbula.")</f>
        <v>, e que ocorre exclusivamente no sexo masculino, é a calosidade branca 
reluzente na base da mandíbula.</v>
      </c>
      <c r="R12" s="16"/>
      <c r="S12" s="16" t="str">
        <f>IFERROR(__xludf.DUMMYFUNCTION("""COMPUTED_VALUE""")," Essa espécie não é considerada entre as que possuem canto mais bonito. A ")</f>
        <v> Essa espécie não é considerada entre as que possuem canto mais bonito. A </v>
      </c>
      <c r="T12" s="16" t="str">
        <f>IFERROR(__xludf.DUMMYFUNCTION("""COMPUTED_VALUE"""),"vocalização")</f>
        <v>vocalização</v>
      </c>
      <c r="U12" s="16" t="str">
        <f>IFERROR(__xludf.DUMMYFUNCTION("""COMPUTED_VALUE""")," de chamada (ou advertência) é muito dura. O canto é um gorjear melodioso e 
trissilábico, que costuma ser repetido sem pressa. Às vezes, alguns 
indivíduos vocalizam juntos. ")</f>
        <v> de chamada (ou advertência) é muito dura. O canto é um gorjear melodioso e 
trissilábico, que costuma ser repetido sem pressa. Às vezes, alguns 
indivíduos vocalizam juntos. </v>
      </c>
    </row>
    <row r="13" ht="15.75" customHeight="1">
      <c r="A13" s="6" t="s">
        <v>62</v>
      </c>
      <c r="B13" s="18" t="s">
        <v>63</v>
      </c>
      <c r="C13" s="18" t="s">
        <v>64</v>
      </c>
      <c r="D13" s="21" t="s">
        <v>65</v>
      </c>
      <c r="E13" s="9" t="s">
        <v>13</v>
      </c>
      <c r="F13" s="17" t="s">
        <v>53</v>
      </c>
      <c r="G13" s="11" t="s">
        <v>16</v>
      </c>
      <c r="H13" s="11" t="s">
        <v>16</v>
      </c>
      <c r="I13" s="16" t="str">
        <f>IFERROR(__xludf.DUMMYFUNCTION("IFERROR(INDEX(IMPORTXML(B13,""//h2[@id='caracteristicas']/following-sibling::div/p""),1),""Not Found"")")," Para a identificação, é útil prestar atenção no branco debaixo das asas do 
macho; a cristinha vermelha quase nunca é visível. O macho é 
preto-brilhante com uma estreita faixa vermelha no alto da cabeça; a fêmea 
é toda marrom. Mede cerca de 18 centímet"&amp;"ros. ")</f>
        <v> Para a identificação, é útil prestar atenção no branco debaixo das asas do 
macho; a cristinha vermelha quase nunca é visível. O macho é 
preto-brilhante com uma estreita faixa vermelha no alto da cabeça; a fêmea 
é toda marrom. Mede cerca de 18 centímetros. </v>
      </c>
      <c r="J13" s="16"/>
      <c r="K13" s="16"/>
    </row>
    <row r="14" ht="15.75" customHeight="1">
      <c r="A14" s="22" t="s">
        <v>66</v>
      </c>
      <c r="B14" s="18" t="s">
        <v>67</v>
      </c>
      <c r="C14" s="19" t="s">
        <v>68</v>
      </c>
      <c r="D14" s="20" t="s">
        <v>69</v>
      </c>
      <c r="E14" s="9" t="s">
        <v>13</v>
      </c>
      <c r="F14" s="10" t="s">
        <v>70</v>
      </c>
      <c r="G14" s="11" t="s">
        <v>16</v>
      </c>
      <c r="H14" s="11" t="s">
        <v>16</v>
      </c>
      <c r="I14" s="16" t="str">
        <f>IFERROR(__xludf.DUMMYFUNCTION("IFERROR(INDEX(IMPORTXML(B14,""//h2[@id='caracteristicas']/following-sibling::div/p""),1),""Not Found"")")," Mede cerca de 19,5 centímetros de comprimento e pesa 40 gramas.")</f>
        <v> Mede cerca de 19,5 centímetros de comprimento e pesa 40 gramas.</v>
      </c>
      <c r="J14" s="16"/>
      <c r="K14" s="16" t="str">
        <f>IFERROR(__xludf.DUMMYFUNCTION("""COMPUTED_VALUE""")," O macho é vermelho-amarronzado com o alto da cabeça vermelho e a fêmea é 
marrom-olivácea com uma pequena faixa amarela no alto da cabeça. ")</f>
        <v> O macho é vermelho-amarronzado com o alto da cabeça vermelho e a fêmea é 
marrom-olivácea com uma pequena faixa amarela no alto da cabeça. </v>
      </c>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row>
    <row r="15" ht="15.75" customHeight="1">
      <c r="A15" s="22" t="s">
        <v>71</v>
      </c>
      <c r="B15" s="18" t="s">
        <v>72</v>
      </c>
      <c r="C15" s="19" t="s">
        <v>73</v>
      </c>
      <c r="D15" s="20" t="s">
        <v>74</v>
      </c>
      <c r="E15" s="9" t="s">
        <v>13</v>
      </c>
      <c r="F15" s="17" t="s">
        <v>53</v>
      </c>
      <c r="G15" s="11" t="s">
        <v>16</v>
      </c>
      <c r="H15" s="11" t="s">
        <v>16</v>
      </c>
      <c r="I15" s="16" t="str">
        <f>IFERROR(__xludf.DUMMYFUNCTION("IFERROR(INDEX(IMPORTXML(B15,""//h2[@id='caracteristicas']/following-sibling::div/p""),1),""Not Found"")")," Caracteriza-se por apresentar o ")</f>
        <v> Caracteriza-se por apresentar o </v>
      </c>
      <c r="J15" s="16" t="str">
        <f>IFERROR(__xludf.DUMMYFUNCTION("""COMPUTED_VALUE"""),"píleo")</f>
        <v>píleo</v>
      </c>
      <c r="K15" s="16" t="str">
        <f>IFERROR(__xludf.DUMMYFUNCTION("""COMPUTED_VALUE""")," amarelado contrastando com a face negra. O dorso é cinzento, com asas e 
cauda negras. A fêmea apresenta-se sem o negro na face e com pouco amarelo 
no ")</f>
        <v> amarelado contrastando com a face negra. O dorso é cinzento, com asas e 
cauda negras. A fêmea apresenta-se sem o negro na face e com pouco amarelo 
no </v>
      </c>
      <c r="L15" s="16" t="str">
        <f>IFERROR(__xludf.DUMMYFUNCTION("""COMPUTED_VALUE"""),"píleo")</f>
        <v>píleo</v>
      </c>
      <c r="M15" s="16" t="str">
        <f>IFERROR(__xludf.DUMMYFUNCTION("""COMPUTED_VALUE"""),". ")</f>
        <v>. </v>
      </c>
      <c r="N15" s="16"/>
      <c r="O15" s="16"/>
    </row>
    <row r="16" ht="15.75" customHeight="1">
      <c r="A16" s="6" t="s">
        <v>75</v>
      </c>
      <c r="B16" s="8" t="s">
        <v>76</v>
      </c>
      <c r="C16" s="8" t="s">
        <v>77</v>
      </c>
      <c r="D16" s="17" t="s">
        <v>78</v>
      </c>
      <c r="E16" s="9" t="s">
        <v>13</v>
      </c>
      <c r="F16" s="17" t="s">
        <v>53</v>
      </c>
      <c r="G16" s="11" t="s">
        <v>16</v>
      </c>
      <c r="H16" s="11" t="s">
        <v>15</v>
      </c>
      <c r="I16" s="16" t="str">
        <f>IFERROR(__xludf.DUMMYFUNCTION("IFERROR(INDEX(IMPORTXML(B16,""//h2[@id='caracteristicas']/following-sibling::div/p""),1),""Not Found"")")," Mede 18 centímetros. Apresenta plumagem verde-olivácea uniforme, de olhos 
marrons ou cinzentos, bico escuro e pernas alaranjadas. ")</f>
        <v> Mede 18 centímetros. Apresenta plumagem verde-olivácea uniforme, de olhos 
marrons ou cinzentos, bico escuro e pernas alaranjadas. </v>
      </c>
      <c r="J16" s="16"/>
      <c r="K16" s="16"/>
      <c r="L16" s="16"/>
      <c r="M16" s="16"/>
      <c r="N16" s="16"/>
      <c r="O16" s="16"/>
    </row>
    <row r="17" ht="15.75" customHeight="1">
      <c r="A17" s="6" t="s">
        <v>79</v>
      </c>
      <c r="B17" s="8" t="s">
        <v>80</v>
      </c>
      <c r="C17" s="14" t="s">
        <v>81</v>
      </c>
      <c r="D17" s="10" t="s">
        <v>82</v>
      </c>
      <c r="E17" s="9" t="s">
        <v>13</v>
      </c>
      <c r="F17" s="17" t="s">
        <v>83</v>
      </c>
      <c r="G17" s="11" t="s">
        <v>15</v>
      </c>
      <c r="H17" s="11" t="s">
        <v>15</v>
      </c>
      <c r="I17" s="16" t="str">
        <f>IFERROR(__xludf.DUMMYFUNCTION("IFERROR(INDEX(IMPORTXML(B17,""//h2[@id='caracteristicas']/following-sibling::div/p""),1),""Not Found"")")," Mede 20-25 centímetros de comprimento e o macho pesa 70 gramas e a fêmea, 
80 gramas.")</f>
        <v> Mede 20-25 centímetros de comprimento e o macho pesa 70 gramas e a fêmea, 
80 gramas.</v>
      </c>
      <c r="J17" s="16"/>
      <c r="K17" s="16" t="str">
        <f>IFERROR(__xludf.DUMMYFUNCTION("""COMPUTED_VALUE""")," pesando em média de 68-80 gramas. Tem ")</f>
        <v> pesando em média de 68-80 gramas. Tem </v>
      </c>
      <c r="L17" s="16" t="str">
        <f>IFERROR(__xludf.DUMMYFUNCTION("""COMPUTED_VALUE"""),"plumagem")</f>
        <v>plumagem</v>
      </c>
      <c r="M17" s="16" t="str">
        <f>IFERROR(__xludf.DUMMYFUNCTION("""COMPUTED_VALUE""")," parda, com exceção da região do ventre, destacada pela cor 
vermelho-ferrugem, levemente alaranjada, e bico amarelo-escuro. Apresenta 
anel ocular amarelo vivo e garganta clara e escura estriada. Tarsos e pés 
rosa-cinzento.")</f>
        <v> parda, com exceção da região do ventre, destacada pela cor 
vermelho-ferrugem, levemente alaranjada, e bico amarelo-escuro. Apresenta 
anel ocular amarelo vivo e garganta clara e escura estriada. Tarsos e pés 
rosa-cinzento.</v>
      </c>
      <c r="N17" s="16"/>
      <c r="O17" s="16" t="str">
        <f>IFERROR(__xludf.DUMMYFUNCTION("""COMPUTED_VALUE""")," É ave de ")</f>
        <v> É ave de </v>
      </c>
      <c r="P17" s="16" t="str">
        <f>IFERROR(__xludf.DUMMYFUNCTION("""COMPUTED_VALUE"""),"canto")</f>
        <v>canto</v>
      </c>
      <c r="Q17" s="16" t="str">
        <f>IFERROR(__xludf.DUMMYFUNCTION("""COMPUTED_VALUE""")," muito apreciado, que se assemelha ao som de uma flauta. Canta 
principalmente ao alvorecer e à tarde. O canto serve para demarcar 
território e, no caso dos machos, para atrair a fêmea. A fêmea também 
canta, mas numa frequência bem menor que o macho. O "&amp;"canto do 
sabiá-laranjeira é parcialmente aprendido, havendo linhagens geográficas de 
tipos de canto, e se a ave conviver desde pequena com outras espécies, pode 
ser influenciada pelo canto delas e passar a ter um canto “impuro”. Além do 
belíssimo cant"&amp;"o, a ave também usa de outros sons: o chamado comum é um 
“ga…ga-gá'-ca” lembrando uma galinha, geralmente seguido de assobios 
territoriais decrescentes e terminando em notas mais longas que no começo 
(fi-fi-fíu-fíu-fíu-fíu-fiúu-fiúúu). Tem canto de alv"&amp;"orecer também, canta 
nos horários de nascer do sol e pôr do sol (Tíu-wé , ou , Tiiêu-wah). ")</f>
        <v> muito apreciado, que se assemelha ao som de uma flauta. Canta 
principalmente ao alvorecer e à tarde. O canto serve para demarcar 
território e, no caso dos machos, para atrair a fêmea. A fêmea também 
canta, mas numa frequência bem menor que o macho. O canto do 
sabiá-laranjeira é parcialmente aprendido, havendo linhagens geográficas de 
tipos de canto, e se a ave conviver desde pequena com outras espécies, pode 
ser influenciada pelo canto delas e passar a ter um canto “impuro”. Além do 
belíssimo canto, a ave também usa de outros sons: o chamado comum é um 
“ga…ga-gá'-ca” lembrando uma galinha, geralmente seguido de assobios 
territoriais decrescentes e terminando em notas mais longas que no começo 
(fi-fi-fíu-fíu-fíu-fíu-fiúu-fiúúu). Tem canto de alvorecer também, canta 
nos horários de nascer do sol e pôr do sol (Tíu-wé , ou , Tiiêu-wah). </v>
      </c>
    </row>
    <row r="18" ht="15.75" customHeight="1">
      <c r="A18" s="6" t="s">
        <v>84</v>
      </c>
      <c r="B18" s="8" t="s">
        <v>85</v>
      </c>
      <c r="C18" s="14" t="s">
        <v>86</v>
      </c>
      <c r="D18" s="10" t="s">
        <v>87</v>
      </c>
      <c r="E18" s="9" t="s">
        <v>13</v>
      </c>
      <c r="F18" s="17" t="s">
        <v>83</v>
      </c>
      <c r="G18" s="11" t="s">
        <v>16</v>
      </c>
      <c r="H18" s="11" t="s">
        <v>16</v>
      </c>
      <c r="I18" s="16" t="str">
        <f>IFERROR(__xludf.DUMMYFUNCTION("IFERROR(INDEX(IMPORTXML(B18,""//h2[@id='caracteristicas']/following-sibling::div/p""),1),""Not Found"")")," Mede cerca de 20,5 centímetros de comprimento. O macho da espécie pesa 
cerca de 64 gramas e a fêmea 72 gramas.")</f>
        <v> Mede cerca de 20,5 centímetros de comprimento. O macho da espécie pesa 
cerca de 64 gramas e a fêmea 72 gramas.</v>
      </c>
      <c r="J18" s="16"/>
      <c r="K18" s="16" t="str">
        <f>IFERROR(__xludf.DUMMYFUNCTION("""COMPUTED_VALUE""")," O macho é preto com as costas e barriga de coloração cinza; a fêmea é 
marrom-oliváceo nas partes superiores e marrom-amarelado nas partes 
inferiores, com a garganta estriada de marrom-escuro.")</f>
        <v> O macho é preto com as costas e barriga de coloração cinza; a fêmea é 
marrom-oliváceo nas partes superiores e marrom-amarelado nas partes 
inferiores, com a garganta estriada de marrom-escuro.</v>
      </c>
      <c r="L18" s="16"/>
      <c r="M18" s="16" t="str">
        <f>IFERROR(__xludf.DUMMYFUNCTION("""COMPUTED_VALUE""")," Seu ")</f>
        <v> Seu </v>
      </c>
      <c r="N18" s="16" t="str">
        <f>IFERROR(__xludf.DUMMYFUNCTION("""COMPUTED_VALUE"""),"canto")</f>
        <v>canto</v>
      </c>
      <c r="O18" s="16" t="str">
        <f>IFERROR(__xludf.DUMMYFUNCTION("""COMPUTED_VALUE""")," é variado, rico em motivos dos mais diversos e de duração diferente. Capaz 
de imitar outras aves. ")</f>
        <v> é variado, rico em motivos dos mais diversos e de duração diferente. Capaz 
de imitar outras aves. </v>
      </c>
      <c r="P18" s="16"/>
      <c r="Q18" s="16"/>
    </row>
    <row r="19" ht="15.75" customHeight="1">
      <c r="A19" s="6" t="s">
        <v>88</v>
      </c>
      <c r="B19" s="8" t="s">
        <v>89</v>
      </c>
      <c r="C19" s="14" t="s">
        <v>90</v>
      </c>
      <c r="D19" s="10" t="s">
        <v>91</v>
      </c>
      <c r="E19" s="9" t="s">
        <v>13</v>
      </c>
      <c r="F19" s="17" t="s">
        <v>92</v>
      </c>
      <c r="G19" s="11" t="s">
        <v>15</v>
      </c>
      <c r="H19" s="11" t="s">
        <v>16</v>
      </c>
      <c r="I19" s="16" t="str">
        <f>IFERROR(__xludf.DUMMYFUNCTION("IFERROR(INDEX(IMPORTXML(B19,""//h2[@id='caracteristicas']/following-sibling::div/p""),1),""Not Found"")")," Mede cerca de 22 cm de comprimento. Apresenta sutil dimorfismo sexual, 
sendo as fêmeas adultas um pouco maiores que os machos, sendo sua 
diferenciação principal feita apenas pelo canto, que é característica dos 
machos. ")</f>
        <v> Mede cerca de 22 cm de comprimento. Apresenta sutil dimorfismo sexual, 
sendo as fêmeas adultas um pouco maiores que os machos, sendo sua 
diferenciação principal feita apenas pelo canto, que é característica dos 
machos. </v>
      </c>
      <c r="J19" s="16"/>
      <c r="K19" s="16"/>
    </row>
    <row r="20" ht="15.75" customHeight="1">
      <c r="A20" s="6" t="s">
        <v>93</v>
      </c>
      <c r="B20" s="8" t="s">
        <v>94</v>
      </c>
      <c r="C20" s="14" t="s">
        <v>95</v>
      </c>
      <c r="D20" s="10" t="s">
        <v>96</v>
      </c>
      <c r="E20" s="9" t="s">
        <v>13</v>
      </c>
      <c r="F20" s="17" t="s">
        <v>53</v>
      </c>
      <c r="G20" s="11" t="s">
        <v>15</v>
      </c>
      <c r="H20" s="11" t="s">
        <v>15</v>
      </c>
      <c r="I20" s="16" t="str">
        <f>IFERROR(__xludf.DUMMYFUNCTION("IFERROR(INDEX(IMPORTXML(B20,""//h2[@id='caracteristicas']/following-sibling::div/p""),1),""Not Found"")")," Para identificá-lo, a característica ")</f>
        <v> Para identificá-lo, a característica </v>
      </c>
      <c r="J20" s="16" t="str">
        <f>IFERROR(__xludf.DUMMYFUNCTION("""COMPUTED_VALUE"""),"mácula")</f>
        <v>mácula</v>
      </c>
      <c r="K20" s="16" t="str">
        <f>IFERROR(__xludf.DUMMYFUNCTION("""COMPUTED_VALUE""")," escura, parecendo ser negra em alguns exemplares, entre o olho e o bico. 
Além disso, a cabeça é mais achatada, parecendo que o bico está no mesmo 
plano da testa. O papo branco e os riscos variam conforme o indivíduo. 
Algumas aves parecem ter uma gola "&amp;"branca separando os riscos do peito. Logo 
que saem dos ninhos, os juvenis apresentam o peito e barriga todo 
pontilhado de bolas marrom-oliváceas, bem como as costas e asas pontilhadas 
de marrom claro. As penas das asas mantém essas características por "&amp;"mais 
tempo, provavelmente até o segundo ano de vida. Apresenta tamanho médio em 
torno de 21 centímetros de comprimento, olhos grandes com uma marca escura 
no loro, região que fica entre o bico e o olho dando a ele um ar de bravo, 
bico longo, forte e p"&amp;"ouco curvo, pernas cor-de-avelã. Em agosto inicia-se a 
reprodução. Nessa época, aparecem as aves com o bico amarelo vivo, uma 
característica ligada à reprodução. Aves juvenis ou adultos fora do período 
reprodutivo têm o bico escuro ou com diferentes pr"&amp;"oporções de amarelo. ")</f>
        <v> escura, parecendo ser negra em alguns exemplares, entre o olho e o bico. 
Além disso, a cabeça é mais achatada, parecendo que o bico está no mesmo 
plano da testa. O papo branco e os riscos variam conforme o indivíduo. 
Algumas aves parecem ter uma gola branca separando os riscos do peito. Logo 
que saem dos ninhos, os juvenis apresentam o peito e barriga todo 
pontilhado de bolas marrom-oliváceas, bem como as costas e asas pontilhadas 
de marrom claro. As penas das asas mantém essas características por mais 
tempo, provavelmente até o segundo ano de vida. Apresenta tamanho médio em 
torno de 21 centímetros de comprimento, olhos grandes com uma marca escura 
no loro, região que fica entre o bico e o olho dando a ele um ar de bravo, 
bico longo, forte e pouco curvo, pernas cor-de-avelã. Em agosto inicia-se a 
reprodução. Nessa época, aparecem as aves com o bico amarelo vivo, uma 
característica ligada à reprodução. Aves juvenis ou adultos fora do período 
reprodutivo têm o bico escuro ou com diferentes proporções de amarelo. </v>
      </c>
      <c r="L20" s="16"/>
      <c r="M20" s="16"/>
      <c r="N20" s="16"/>
      <c r="O20" s="16"/>
    </row>
    <row r="21" ht="15.75" customHeight="1">
      <c r="A21" s="6" t="s">
        <v>97</v>
      </c>
      <c r="B21" s="8" t="s">
        <v>98</v>
      </c>
      <c r="C21" s="14" t="s">
        <v>99</v>
      </c>
      <c r="D21" s="10" t="s">
        <v>100</v>
      </c>
      <c r="E21" s="9" t="s">
        <v>13</v>
      </c>
      <c r="F21" s="17" t="s">
        <v>101</v>
      </c>
      <c r="G21" s="11" t="s">
        <v>15</v>
      </c>
      <c r="H21" s="11" t="s">
        <v>15</v>
      </c>
      <c r="I21" s="16" t="str">
        <f>IFERROR(__xludf.DUMMYFUNCTION("IFERROR(INDEX(IMPORTXML(B21,""//h2[@id='caracteristicas']/following-sibling::div/p""),1),""Not Found"")")," Mede cerca de 22 a 23 centímetros. Não apresenta dimorfismo sexual, sendo 
sua diferenciação feita apenas pelo canto, que é característica dos machos. 
O adulto apresenta o alto da cabeça arredondado, acinzentada nos lados e 
olivácea na parte alta, sem "&amp;"a mácula negra à frente dos olhos. Bico 
cinza-escuro uniforme. O tom acinzentado domina as costas, tornando-se 
amarronzado nas asas. Peito acinzentado, com a garganta branca e listras 
cinza-escuras bem definidas. Quando voa, às vezes mostra a área alar"&amp;"anjada 
da parte interna das asas. A parte inferior da cauda é clara.")</f>
        <v> Mede cerca de 22 a 23 centímetros. Não apresenta dimorfismo sexual, sendo 
sua diferenciação feita apenas pelo canto, que é característica dos machos. 
O adulto apresenta o alto da cabeça arredondado, acinzentada nos lados e 
olivácea na parte alta, sem a mácula negra à frente dos olhos. Bico 
cinza-escuro uniforme. O tom acinzentado domina as costas, tornando-se 
amarronzado nas asas. Peito acinzentado, com a garganta branca e listras 
cinza-escuras bem definidas. Quando voa, às vezes mostra a área alaranjada 
da parte interna das asas. A parte inferior da cauda é clara.</v>
      </c>
      <c r="J21" s="16"/>
      <c r="K21" s="16" t="str">
        <f>IFERROR(__xludf.DUMMYFUNCTION("""COMPUTED_VALUE""")," O juvenil tem o dorso pintalgado de bolas amarronzadas, sem a garganta 
branca bem delimitada. Pontos marrons no peito e barriga. ")</f>
        <v> O juvenil tem o dorso pintalgado de bolas amarronzadas, sem a garganta 
branca bem delimitada. Pontos marrons no peito e barriga. </v>
      </c>
      <c r="L21" s="16"/>
      <c r="M21" s="16"/>
      <c r="N21" s="16"/>
      <c r="O21" s="16"/>
      <c r="P21" s="16"/>
      <c r="Q21" s="16"/>
      <c r="R21" s="16"/>
    </row>
    <row r="22" ht="15.75" customHeight="1">
      <c r="A22" s="6" t="s">
        <v>102</v>
      </c>
      <c r="B22" s="8" t="s">
        <v>103</v>
      </c>
      <c r="C22" s="14" t="s">
        <v>104</v>
      </c>
      <c r="D22" s="10" t="s">
        <v>105</v>
      </c>
      <c r="E22" s="9" t="s">
        <v>13</v>
      </c>
      <c r="F22" s="17" t="s">
        <v>106</v>
      </c>
      <c r="G22" s="11" t="s">
        <v>16</v>
      </c>
      <c r="H22" s="11" t="s">
        <v>16</v>
      </c>
      <c r="I22" s="16" t="str">
        <f>IFERROR(__xludf.DUMMYFUNCTION("IFERROR(INDEX(IMPORTXML(B22,""//h2[@id='caracteristicas']/following-sibling::div/p""),1),""Not Found"")")," Possui cerca de 13 centímetros e apresenta forte dimorfismo sexual. Os 
machos têm plumagem azul-celeste, cauda preta com duas penas centrais mais 
longas que as outras e, no alto da cabeça, uma brilhante coroa vermelha. Os 
mais jovens são verde-oliva, "&amp;"diferindo das fêmeas pela coroa vermelha que 
nasce antes da mudança das plumas no restante do corpo; só atingem a 
plumagem adulta com dois anos de idade. ")</f>
        <v> Possui cerca de 13 centímetros e apresenta forte dimorfismo sexual. Os 
machos têm plumagem azul-celeste, cauda preta com duas penas centrais mais 
longas que as outras e, no alto da cabeça, uma brilhante coroa vermelha. Os 
mais jovens são verde-oliva, diferindo das fêmeas pela coroa vermelha que 
nasce antes da mudança das plumas no restante do corpo; só atingem a 
plumagem adulta com dois anos de idade. </v>
      </c>
      <c r="J22" s="16"/>
      <c r="K22" s="16"/>
      <c r="L22" s="16"/>
      <c r="M22" s="16"/>
      <c r="N22" s="16"/>
      <c r="O22" s="16"/>
      <c r="P22" s="16"/>
      <c r="Q22" s="16"/>
    </row>
    <row r="23" ht="15.75" customHeight="1">
      <c r="A23" s="6" t="s">
        <v>107</v>
      </c>
      <c r="B23" s="8" t="s">
        <v>108</v>
      </c>
      <c r="C23" s="14" t="s">
        <v>109</v>
      </c>
      <c r="D23" s="10" t="s">
        <v>110</v>
      </c>
      <c r="E23" s="9" t="s">
        <v>13</v>
      </c>
      <c r="F23" s="17" t="s">
        <v>111</v>
      </c>
      <c r="G23" s="11" t="s">
        <v>15</v>
      </c>
      <c r="H23" s="11" t="s">
        <v>16</v>
      </c>
      <c r="I23" s="16" t="str">
        <f>IFERROR(__xludf.DUMMYFUNCTION("IFERROR(INDEX(IMPORTXML(B23,""//h2[@id='caracteristicas']/following-sibling::div/p""),1),""Not Found"")")," Mede cerca de 11 centímetros de comprimento. Tais aves possuem a garganta 
e o dorso negros, uropígio e lado ventral amarelos, e um característico 
capacete azul. As fêmeas são esverdeadas. ")</f>
        <v> Mede cerca de 11 centímetros de comprimento. Tais aves possuem a garganta 
e o dorso negros, uropígio e lado ventral amarelos, e um característico 
capacete azul. As fêmeas são esverdeadas. </v>
      </c>
      <c r="J23" s="16"/>
      <c r="K23" s="16"/>
      <c r="L23" s="16"/>
      <c r="M23" s="16"/>
      <c r="N23" s="16"/>
      <c r="O23" s="16"/>
    </row>
    <row r="24" ht="15.75" customHeight="1">
      <c r="A24" s="6" t="s">
        <v>112</v>
      </c>
      <c r="B24" s="18" t="s">
        <v>113</v>
      </c>
      <c r="C24" s="19" t="s">
        <v>114</v>
      </c>
      <c r="D24" s="20" t="s">
        <v>115</v>
      </c>
      <c r="E24" s="9" t="s">
        <v>13</v>
      </c>
      <c r="F24" s="17" t="s">
        <v>116</v>
      </c>
      <c r="G24" s="11" t="s">
        <v>15</v>
      </c>
      <c r="H24" s="11" t="s">
        <v>15</v>
      </c>
      <c r="I24" s="16" t="str">
        <f>IFERROR(__xludf.DUMMYFUNCTION("IFERROR(INDEX(IMPORTXML(B24,""//h2[@id='caracteristicas']/following-sibling::div/p""),1),""Not Found"")")," Apresenta plumagem ferrugínea nas partes superiores, peito acinzentado, 
ventre escuro, cauda longa, escura e com as pontas das ")</f>
        <v> Apresenta plumagem ferrugínea nas partes superiores, peito acinzentado, 
ventre escuro, cauda longa, escura e com as pontas das </v>
      </c>
      <c r="J24" s="16" t="str">
        <f>IFERROR(__xludf.DUMMYFUNCTION("""COMPUTED_VALUE"""),"retrizes")</f>
        <v>retrizes</v>
      </c>
      <c r="K24" s="16" t="str">
        <f>IFERROR(__xludf.DUMMYFUNCTION("""COMPUTED_VALUE""")," claras, ")</f>
        <v> claras, </v>
      </c>
      <c r="L24" s="16" t="str">
        <f>IFERROR(__xludf.DUMMYFUNCTION("""COMPUTED_VALUE"""),"bico")</f>
        <v>bico</v>
      </c>
      <c r="M24" s="16" t="str">
        <f>IFERROR(__xludf.DUMMYFUNCTION("""COMPUTED_VALUE""")," amarelo e íris vermelha. ")</f>
        <v> amarelo e íris vermelha. </v>
      </c>
      <c r="N24" s="16"/>
      <c r="O24" s="16"/>
      <c r="P24" s="16"/>
      <c r="Q24" s="16"/>
      <c r="R24" s="16"/>
      <c r="S24" s="16"/>
      <c r="T24" s="16"/>
      <c r="U24" s="16"/>
      <c r="V24" s="16"/>
      <c r="W24" s="16"/>
      <c r="X24" s="16"/>
      <c r="Y24" s="16"/>
      <c r="Z24" s="16"/>
      <c r="AA24" s="16"/>
    </row>
    <row r="25" ht="15.75" customHeight="1">
      <c r="A25" s="6" t="s">
        <v>117</v>
      </c>
      <c r="B25" s="8" t="s">
        <v>118</v>
      </c>
      <c r="C25" s="8" t="s">
        <v>119</v>
      </c>
      <c r="D25" s="9" t="s">
        <v>120</v>
      </c>
      <c r="E25" s="9" t="s">
        <v>13</v>
      </c>
      <c r="F25" s="10" t="s">
        <v>121</v>
      </c>
      <c r="G25" s="11" t="s">
        <v>15</v>
      </c>
      <c r="H25" s="11" t="s">
        <v>16</v>
      </c>
      <c r="I25" s="16" t="str">
        <f>IFERROR(__xludf.DUMMYFUNCTION("IFERROR(INDEX(IMPORTXML(B25,""//h2[@id='caracteristicas']/following-sibling::div/p""),1),""Not Found"")")," Mede entre 26 e 28 centímetros e pesa entre 70 e 78 gramas. É um pássaro 
quieto que passa longos períodos de descanso em um poleiro, e seu canto 
pode ser ouvido durante todo o dia.")</f>
        <v> Mede entre 26 e 28 centímetros e pesa entre 70 e 78 gramas. É um pássaro 
quieto que passa longos períodos de descanso em um poleiro, e seu canto 
pode ser ouvido durante todo o dia.</v>
      </c>
      <c r="J25" s="16"/>
      <c r="K25" s="16" t="str">
        <f>IFERROR(__xludf.DUMMYFUNCTION("""COMPUTED_VALUE""")," A variedade nominal ")</f>
        <v> A variedade nominal </v>
      </c>
      <c r="L25" s="16" t="str">
        <f>IFERROR(__xludf.DUMMYFUNCTION("""COMPUTED_VALUE"""),"Trogon surrucura surrucura")</f>
        <v>Trogon surrucura surrucura</v>
      </c>
      <c r="M25" s="16" t="str">
        <f>IFERROR(__xludf.DUMMYFUNCTION("""COMPUTED_VALUE""")," apresenta a cabeça, pescoço e peito na coloração azul escuro metálico e as 
bochechas e garganta na cor preta. Apresenta os olhos na cor marrom escuro 
com um anel periocular na cor laranja intenso. O bico é curto e robusto, na 
cor marfim manchado com t"&amp;"ons cinza esverdeados. A mandíbula inferior 
apresenta coloração preta na porção central. A mandíbula superior termina 
em um pequeno gancho. O dorso é esverdeado e se torna turquesa quanto mais 
próximo da cauda. Sobre as asas, as coberteiras secundárias"&amp;" são verde 
esmeralda com reflexos dourados, as rêmiges são cinza escuro, ligeiramente 
marcados com um barrado branco. A parte ventral e o crisso são vermelhos. A 
cauda é longa e escura, apresentando os tons azulados presentes no dorso e 
uropígio e tam"&amp;"bém uma barra preta na extremidade final. A parte inferior da 
longa cauda apresenta penas retrizes brancas com duas marcas enegrecidas em 
sua base, bastante visíveis quando a ave pousa. Os tarsos são curtos e como 
os pés, são acinzentadas. Possuem dedo"&amp;"s bastante específicos que lhe 
permitem agarrar firmemente os ramos em que ficam empoleirados. Os dois 
primeiros dedos são orientados para trás e os outros dois para a frente.")</f>
        <v> apresenta a cabeça, pescoço e peito na coloração azul escuro metálico e as 
bochechas e garganta na cor preta. Apresenta os olhos na cor marrom escuro 
com um anel periocular na cor laranja intenso. O bico é curto e robusto, na 
cor marfim manchado com tons cinza esverdeados. A mandíbula inferior 
apresenta coloração preta na porção central. A mandíbula superior termina 
em um pequeno gancho. O dorso é esverdeado e se torna turquesa quanto mais 
próximo da cauda. Sobre as asas, as coberteiras secundárias são verde 
esmeralda com reflexos dourados, as rêmiges são cinza escuro, ligeiramente 
marcados com um barrado branco. A parte ventral e o crisso são vermelhos. A 
cauda é longa e escura, apresentando os tons azulados presentes no dorso e 
uropígio e também uma barra preta na extremidade final. A parte inferior da 
longa cauda apresenta penas retrizes brancas com duas marcas enegrecidas em 
sua base, bastante visíveis quando a ave pousa. Os tarsos são curtos e como 
os pés, são acinzentadas. Possuem dedos bastante específicos que lhe 
permitem agarrar firmemente os ramos em que ficam empoleirados. Os dois 
primeiros dedos são orientados para trás e os outros dois para a frente.</v>
      </c>
      <c r="N25" s="16"/>
      <c r="O25" s="16" t="str">
        <f>IFERROR(__xludf.DUMMYFUNCTION("""COMPUTED_VALUE""")," A variedade ")</f>
        <v> A variedade </v>
      </c>
      <c r="P25" s="16" t="str">
        <f>IFERROR(__xludf.DUMMYFUNCTION("""COMPUTED_VALUE"""),"Trogon surrucura aurantius")</f>
        <v>Trogon surrucura aurantius</v>
      </c>
      <c r="Q25" s="16" t="str">
        <f>IFERROR(__xludf.DUMMYFUNCTION("""COMPUTED_VALUE""")," difere da variedade nominal pois dentre outras características apresenta o 
ventre amarelo e o anel periocular do macho na cor amarelo alaranjado.")</f>
        <v> difere da variedade nominal pois dentre outras características apresenta o 
ventre amarelo e o anel periocular do macho na cor amarelo alaranjado.</v>
      </c>
      <c r="R25" s="16"/>
      <c r="S25" s="16" t="str">
        <f>IFERROR(__xludf.DUMMYFUNCTION("""COMPUTED_VALUE""")," A fêmea da espécie apresenta o anel perioftálmico branco. A plumagem da 
fêmea é cinza opaco com pequenas barras pretas nas asas. O ventre e crisso 
é vermelho rosado (variedade ")</f>
        <v> A fêmea da espécie apresenta o anel perioftálmico branco. A plumagem da 
fêmea é cinza opaco com pequenas barras pretas nas asas. O ventre e crisso 
é vermelho rosado (variedade </v>
      </c>
      <c r="T25" s="16" t="str">
        <f>IFERROR(__xludf.DUMMYFUNCTION("""COMPUTED_VALUE"""),"surrucura")</f>
        <v>surrucura</v>
      </c>
      <c r="U25" s="16" t="str">
        <f>IFERROR(__xludf.DUMMYFUNCTION("""COMPUTED_VALUE"""),") e para a variedade ")</f>
        <v>) e para a variedade </v>
      </c>
      <c r="V25" s="16" t="str">
        <f>IFERROR(__xludf.DUMMYFUNCTION("""COMPUTED_VALUE"""),"auratius")</f>
        <v>auratius</v>
      </c>
      <c r="W25" s="16" t="str">
        <f>IFERROR(__xludf.DUMMYFUNCTION("""COMPUTED_VALUE""")," é amarelo. A cauda é cinza, da mesma coloração do dorso, e apresentam na 
porção terminal uma barra preta. Abaixo da cauda cinza apresentando as 
bordas brancas.")</f>
        <v> é amarelo. A cauda é cinza, da mesma coloração do dorso, e apresentam na 
porção terminal uma barra preta. Abaixo da cauda cinza apresentando as 
bordas brancas.</v>
      </c>
      <c r="X25" s="16"/>
      <c r="Y25" s="16" t="str">
        <f>IFERROR(__xludf.DUMMYFUNCTION("""COMPUTED_VALUE""")," Juvenis apresentam a plumagem semelhante à das fêmeas. Na transição para a 
fase adulta os juvenis machos apresentam a coloração azul esverdeada e 
preta do dorso, cabeça, garganta e peito incipiente e inconstante. ")</f>
        <v> Juvenis apresentam a plumagem semelhante à das fêmeas. Na transição para a 
fase adulta os juvenis machos apresentam a coloração azul esverdeada e 
preta do dorso, cabeça, garganta e peito incipiente e inconstante. </v>
      </c>
    </row>
    <row r="26" ht="15.75" customHeight="1">
      <c r="A26" s="6" t="s">
        <v>122</v>
      </c>
      <c r="B26" s="8" t="s">
        <v>123</v>
      </c>
      <c r="C26" s="14" t="s">
        <v>124</v>
      </c>
      <c r="D26" s="10" t="s">
        <v>125</v>
      </c>
      <c r="E26" s="9" t="s">
        <v>13</v>
      </c>
      <c r="F26" s="10" t="s">
        <v>126</v>
      </c>
      <c r="G26" s="11" t="s">
        <v>15</v>
      </c>
      <c r="H26" s="11" t="s">
        <v>16</v>
      </c>
      <c r="I26" s="16" t="str">
        <f>IFERROR(__xludf.DUMMYFUNCTION("IFERROR(INDEX(IMPORTXML(B26,""//h2[@id='caracteristicas']/following-sibling::div/p""),1),""Not Found"")")," Mede cerca de 30 centímetros de comprimento e pesa 93 gramas. Apresenta ")</f>
        <v> Mede cerca de 30 centímetros de comprimento e pesa 93 gramas. Apresenta </v>
      </c>
      <c r="J26" s="16" t="str">
        <f>IFERROR(__xludf.DUMMYFUNCTION("""COMPUTED_VALUE"""),"dimorfismo sexual")</f>
        <v>dimorfismo sexual</v>
      </c>
      <c r="K26" s="16" t="str">
        <f>IFERROR(__xludf.DUMMYFUNCTION("""COMPUTED_VALUE"""),". O macho tem o bico cinza azulado. Os olhos são escuros de coloração 
marrom e apresentam um claro anel periocular de coloração azul. As regiões 
auriculares são pretas. A garganta e a porção superior do peito são pretos 
e as partes laterais do peito ap"&amp;"resentam uma coloração azul escuro 
ultramarino que contrasta fortemente com o ventre que é amarelo. A nuca, 
manto e as costas são verde esmeralda com reflexos azul arroxeado, ou 
verde. As rêmiges são pretas com marcações brancas. As coberteiras são azu"&amp;"l 
esverdeadas. A cauda longa e escura apresenta três pares de penas com a 
face inferior na cor branca com a extremidade preta. As bordas externas das 
retrizes são pretas. A parte dorsal da cauda é da mesma coloração do manto, 
entretanto apresenta esta"&amp;" coloração menos intensa. A fêmea, menos 
exuberante que o macho da espécie, apresenta a cabeça cinza. Sua mandíbula 
superior apresenta a coloração cinza azulada e a mandíbula inferior é 
cinza. A região loral é preta. Os olhos da fêmea são semelhantes a"&amp;"os olhos 
do indivíduo do sexo masculino. O peito é cinza e o ventre amarelo. A nuca, 
manto e dorso também são de coloração cinza. A cauda apresenta as retrizes 
com barrado branco na porção lateral, terminando com uma barra branca na 
sua extremidade di"&amp;"stal. A face dorsal das penas retrizes apresenta em sua 
extremidade distal uma barra subterminal preta. As fêmeas dessa espécie são 
muito parecidas com as fêmeas de surucuá-violáceo (")</f>
        <v>. O macho tem o bico cinza azulado. Os olhos são escuros de coloração 
marrom e apresentam um claro anel periocular de coloração azul. As regiões 
auriculares são pretas. A garganta e a porção superior do peito são pretos 
e as partes laterais do peito apresentam uma coloração azul escuro 
ultramarino que contrasta fortemente com o ventre que é amarelo. A nuca, 
manto e as costas são verde esmeralda com reflexos azul arroxeado, ou 
verde. As rêmiges são pretas com marcações brancas. As coberteiras são azul 
esverdeadas. A cauda longa e escura apresenta três pares de penas com a 
face inferior na cor branca com a extremidade preta. As bordas externas das 
retrizes são pretas. A parte dorsal da cauda é da mesma coloração do manto, 
entretanto apresenta esta coloração menos intensa. A fêmea, menos 
exuberante que o macho da espécie, apresenta a cabeça cinza. Sua mandíbula 
superior apresenta a coloração cinza azulada e a mandíbula inferior é 
cinza. A região loral é preta. Os olhos da fêmea são semelhantes aos olhos 
do indivíduo do sexo masculino. O peito é cinza e o ventre amarelo. A nuca, 
manto e dorso também são de coloração cinza. A cauda apresenta as retrizes 
com barrado branco na porção lateral, terminando com uma barra branca na 
sua extremidade distal. A face dorsal das penas retrizes apresenta em sua 
extremidade distal uma barra subterminal preta. As fêmeas dessa espécie são 
muito parecidas com as fêmeas de surucuá-violáceo (</v>
      </c>
      <c r="L26" s="16" t="str">
        <f>IFERROR(__xludf.DUMMYFUNCTION("""COMPUTED_VALUE"""),"Trogon violaceus")</f>
        <v>Trogon violaceus</v>
      </c>
      <c r="M26" s="16" t="str">
        <f>IFERROR(__xludf.DUMMYFUNCTION("""COMPUTED_VALUE"""),") e podem ser diferenciadas pelo maior tamanho do corpo e pelo anel ocular 
de formato redondo, e não ovalado como naquele. ")</f>
        <v>) e podem ser diferenciadas pelo maior tamanho do corpo e pelo anel ocular 
de formato redondo, e não ovalado como naquele. </v>
      </c>
    </row>
    <row r="27" ht="15.75" customHeight="1">
      <c r="A27" s="6" t="s">
        <v>127</v>
      </c>
      <c r="B27" s="8" t="s">
        <v>128</v>
      </c>
      <c r="C27" s="14" t="s">
        <v>129</v>
      </c>
      <c r="D27" s="10" t="s">
        <v>130</v>
      </c>
      <c r="E27" s="9" t="s">
        <v>13</v>
      </c>
      <c r="F27" s="17" t="s">
        <v>111</v>
      </c>
      <c r="G27" s="11" t="s">
        <v>16</v>
      </c>
      <c r="H27" s="11" t="s">
        <v>15</v>
      </c>
      <c r="I27" s="16" t="str">
        <f>IFERROR(__xludf.DUMMYFUNCTION("IFERROR(INDEX(IMPORTXML(B27,""//h2[@id='caracteristicas']/following-sibling::div/p""),1),""Not Found"")")," Mede entre 24 e 28 centímetros de comprimento e pesa entre 72 e 94 gramas.")</f>
        <v> Mede entre 24 e 28 centímetros de comprimento e pesa entre 72 e 94 gramas.</v>
      </c>
      <c r="J27" s="16"/>
      <c r="K27" s="16" t="str">
        <f>IFERROR(__xludf.DUMMYFUNCTION("""COMPUTED_VALUE""")," É verde, inclusive nas bochechas, com a zona auricular pardacenta. Fronte, ")</f>
        <v> É verde, inclusive nas bochechas, com a zona auricular pardacenta. Fronte, </v>
      </c>
      <c r="L27" s="16" t="str">
        <f>IFERROR(__xludf.DUMMYFUNCTION("""COMPUTED_VALUE"""),"abdômen")</f>
        <v>abdômen</v>
      </c>
      <c r="M27" s="16" t="str">
        <f>IFERROR(__xludf.DUMMYFUNCTION("""COMPUTED_VALUE""")," e face inferior da cauda de cor vermelha. ")</f>
        <v> e face inferior da cauda de cor vermelha. </v>
      </c>
      <c r="N27" s="16" t="str">
        <f>IFERROR(__xludf.DUMMYFUNCTION("""COMPUTED_VALUE"""),"Região perioftálmica")</f>
        <v>Região perioftálmica</v>
      </c>
      <c r="O27" s="16" t="str">
        <f>IFERROR(__xludf.DUMMYFUNCTION("""COMPUTED_VALUE""")," branca, assim como a cara. Não possui diferenças externas aparentes entre 
machos e fêmeas. ")</f>
        <v> branca, assim como a cara. Não possui diferenças externas aparentes entre 
machos e fêmeas. </v>
      </c>
    </row>
    <row r="28" ht="15.75" customHeight="1">
      <c r="A28" s="6" t="s">
        <v>131</v>
      </c>
      <c r="B28" s="8" t="s">
        <v>132</v>
      </c>
      <c r="C28" s="14" t="s">
        <v>133</v>
      </c>
      <c r="D28" s="10" t="s">
        <v>134</v>
      </c>
      <c r="E28" s="9" t="s">
        <v>13</v>
      </c>
      <c r="F28" s="17" t="s">
        <v>111</v>
      </c>
      <c r="G28" s="11" t="s">
        <v>16</v>
      </c>
      <c r="H28" s="11" t="s">
        <v>15</v>
      </c>
      <c r="I28" s="16" t="str">
        <f>IFERROR(__xludf.DUMMYFUNCTION("IFERROR(INDEX(IMPORTXML(B28,""//h2[@id='caracteristicas']/following-sibling::div/p""),1),""Not Found"")")," Mede 21 cm. A coloração básica da plumagem é verde. As partes inferiores e 
laterais da ")</f>
        <v> Mede 21 cm. A coloração básica da plumagem é verde. As partes inferiores e 
laterais da </v>
      </c>
      <c r="J28" s="16" t="str">
        <f>IFERROR(__xludf.DUMMYFUNCTION("""COMPUTED_VALUE"""),"cabeça")</f>
        <v>cabeça</v>
      </c>
      <c r="K28" s="16" t="str">
        <f>IFERROR(__xludf.DUMMYFUNCTION("""COMPUTED_VALUE"""),", peito e abdômen são de um verde com tons amarelados. A parte traseira da 
cabeça, a nuca, é de um verde levemente azulado. A base das asas é de um 
marrom oliváceo. A ")</f>
        <v>, peito e abdômen são de um verde com tons amarelados. A parte traseira da 
cabeça, a nuca, é de um verde levemente azulado. A base das asas é de um 
marrom oliváceo. A </v>
      </c>
      <c r="L28" s="16" t="str">
        <f>IFERROR(__xludf.DUMMYFUNCTION("""COMPUTED_VALUE"""),"cobertura")</f>
        <v>cobertura</v>
      </c>
      <c r="M28" s="16" t="str">
        <f>IFERROR(__xludf.DUMMYFUNCTION("""COMPUTED_VALUE""")," de pluma da base das asas é de um marrom oliváceo e as penas exteriores 
são de um azul-violeta. O bico é amarronzado, mais claro no topo. As 
narinas ficam na base do bico. O anel perioftálmico é de um cinza pálido. A 
íris é de um marrom-escuro, com a "&amp;"pupila de cor negra. Os pés são de cor 
semelhante à do bico, porém mais escura. A cauda é longa, com penas de 
coloração verde-azuladas. Os exemplares imaturos são semelhantes aos 
adultos, mas com quase toda plumagem primária esverdeada, cauda curta e 
"&amp;"bico mais escuro. ")</f>
        <v> de pluma da base das asas é de um marrom oliváceo e as penas exteriores 
são de um azul-violeta. O bico é amarronzado, mais claro no topo. As 
narinas ficam na base do bico. O anel perioftálmico é de um cinza pálido. A 
íris é de um marrom-escuro, com a pupila de cor negra. Os pés são de cor 
semelhante à do bico, porém mais escura. A cauda é longa, com penas de 
coloração verde-azuladas. Os exemplares imaturos são semelhantes aos 
adultos, mas com quase toda plumagem primária esverdeada, cauda curta e 
bico mais escuro. </v>
      </c>
      <c r="N28" s="16"/>
      <c r="O28" s="16"/>
      <c r="P28" s="16"/>
      <c r="Q28" s="16"/>
      <c r="R28" s="16"/>
    </row>
    <row r="29" ht="15.75" customHeight="1">
      <c r="A29" s="6" t="s">
        <v>135</v>
      </c>
      <c r="B29" s="8" t="s">
        <v>136</v>
      </c>
      <c r="C29" s="14" t="s">
        <v>137</v>
      </c>
      <c r="D29" s="10" t="s">
        <v>138</v>
      </c>
      <c r="E29" s="9" t="s">
        <v>47</v>
      </c>
      <c r="F29" s="17" t="s">
        <v>111</v>
      </c>
      <c r="G29" s="11" t="s">
        <v>15</v>
      </c>
      <c r="H29" s="11" t="s">
        <v>15</v>
      </c>
      <c r="I29" s="16" t="str">
        <f>IFERROR(__xludf.DUMMYFUNCTION("IFERROR(INDEX(IMPORTXML(B29,""//h2[@id='caracteristicas']/following-sibling::div/p""),1),""Not Found"")")," É a maior ")</f>
        <v> É a maior </v>
      </c>
      <c r="J29" s="16" t="str">
        <f>IFERROR(__xludf.DUMMYFUNCTION("""COMPUTED_VALUE"""),"espécie")</f>
        <v>espécie</v>
      </c>
      <c r="K29" s="16" t="str">
        <f>IFERROR(__xludf.DUMMYFUNCTION("""COMPUTED_VALUE""")," do gênero, medindo cerca de 40 cm de comprimento. Possui plumagem verde, 
coberta por um pó branco muito fino (")</f>
        <v> do gênero, medindo cerca de 40 cm de comprimento. Possui plumagem verde, 
coberta por um pó branco muito fino (</v>
      </c>
      <c r="L29" s="16" t="str">
        <f>IFERROR(__xludf.DUMMYFUNCTION("""COMPUTED_VALUE"""),"farinosa")</f>
        <v>farinosa</v>
      </c>
      <c r="M29" s="16" t="str">
        <f>IFERROR(__xludf.DUMMYFUNCTION("""COMPUTED_VALUE""")," - origem de seu nome científico), ")</f>
        <v> - origem de seu nome científico), </v>
      </c>
      <c r="N29" s="16" t="str">
        <f>IFERROR(__xludf.DUMMYFUNCTION("""COMPUTED_VALUE"""),"boné")</f>
        <v>boné</v>
      </c>
      <c r="O29" s="16" t="str">
        <f>IFERROR(__xludf.DUMMYFUNCTION("""COMPUTED_VALUE""")," geralmente amarelo, azul e vermelho, ")</f>
        <v> geralmente amarelo, azul e vermelho, </v>
      </c>
      <c r="P29" s="16" t="str">
        <f>IFERROR(__xludf.DUMMYFUNCTION("""COMPUTED_VALUE"""),"bico")</f>
        <v>bico</v>
      </c>
      <c r="Q29" s="16" t="str">
        <f>IFERROR(__xludf.DUMMYFUNCTION("""COMPUTED_VALUE""")," e anel perioftálmico brancos, espelho alar vermelho e cauda longa com 
extremidade verde-clara. Muito parecido com seu parente o 
papagaio-campeiro, difere deste pela íris mais escura, a ausência de 
vermelho na base das penas da cauda e uma área amarela"&amp;" menor na coroa. 
Também possui menos vermelho no espelho, característica mais visível em 
voo. ")</f>
        <v> e anel perioftálmico brancos, espelho alar vermelho e cauda longa com 
extremidade verde-clara. Muito parecido com seu parente o 
papagaio-campeiro, difere deste pela íris mais escura, a ausência de 
vermelho na base das penas da cauda e uma área amarela menor na coroa. 
Também possui menos vermelho no espelho, característica mais visível em 
voo. </v>
      </c>
    </row>
    <row r="30" ht="15.75" customHeight="1">
      <c r="A30" s="23" t="s">
        <v>139</v>
      </c>
      <c r="B30" s="8" t="s">
        <v>140</v>
      </c>
      <c r="C30" s="14" t="s">
        <v>141</v>
      </c>
      <c r="D30" s="10" t="s">
        <v>142</v>
      </c>
      <c r="E30" s="9" t="s">
        <v>13</v>
      </c>
      <c r="F30" s="17" t="s">
        <v>143</v>
      </c>
      <c r="G30" s="11" t="s">
        <v>15</v>
      </c>
      <c r="H30" s="11" t="s">
        <v>16</v>
      </c>
      <c r="I30" s="16" t="str">
        <f>IFERROR(__xludf.DUMMYFUNCTION("IFERROR(INDEX(IMPORTXML(B30,""//h2[@id='caracteristicas']/following-sibling::div/p""),1),""Not Found"")")," Tamanho aproximado: 13,5 centímetros. Peso médio: 20 gramas. Cor 
amarelo-olivácea com estrias enegrecidas nas costas e próximo das pernas. 
Asas e cauda cinza-oliva. A íris é negra e o bico tem a parte superior cor 
de chifre e a inferior é amarelada. A"&amp;"s pernas são rosadas. A fêmea e o 
jovem têm a parte superior do corpo olivácea com densa estriação parda por 
baixo, com as penas e cauda e tarso quase enegrecidos, mas o jovem macho, 
quando adulto, assume a coloração amarela. Com 4 a 6 meses de idade, "&amp;"os 
filhotes machos já estão cantando, e levam cerca de 18 meses para adquirir 
a plumagem de adulto. ")</f>
        <v> Tamanho aproximado: 13,5 centímetros. Peso médio: 20 gramas. Cor 
amarelo-olivácea com estrias enegrecidas nas costas e próximo das pernas. 
Asas e cauda cinza-oliva. A íris é negra e o bico tem a parte superior cor 
de chifre e a inferior é amarelada. As pernas são rosadas. A fêmea e o 
jovem têm a parte superior do corpo olivácea com densa estriação parda por 
baixo, com as penas e cauda e tarso quase enegrecidos, mas o jovem macho, 
quando adulto, assume a coloração amarela. Com 4 a 6 meses de idade, os 
filhotes machos já estão cantando, e levam cerca de 18 meses para adquirir 
a plumagem de adulto. </v>
      </c>
      <c r="J30" s="16"/>
      <c r="K30" s="16"/>
      <c r="L30" s="16"/>
      <c r="M30" s="16"/>
    </row>
    <row r="31" ht="15.75" customHeight="1">
      <c r="A31" s="6" t="s">
        <v>144</v>
      </c>
      <c r="B31" s="8" t="s">
        <v>145</v>
      </c>
      <c r="C31" s="14" t="s">
        <v>146</v>
      </c>
      <c r="D31" s="10" t="s">
        <v>147</v>
      </c>
      <c r="E31" s="9" t="s">
        <v>13</v>
      </c>
      <c r="F31" s="17" t="s">
        <v>143</v>
      </c>
      <c r="G31" s="11" t="s">
        <v>148</v>
      </c>
      <c r="H31" s="11" t="s">
        <v>16</v>
      </c>
      <c r="I31" s="16" t="str">
        <f>IFERROR(__xludf.DUMMYFUNCTION("IFERROR(INDEX(IMPORTXML(B31,""//h2[@id='caracteristicas']/following-sibling::div/p""),1),""Not Found"")")," Mede cerca de 10-13 centímetros de comprimento e pesa 7-10 gramas.")</f>
        <v> Mede cerca de 10-13 centímetros de comprimento e pesa 7-10 gramas.</v>
      </c>
      <c r="J31" s="16"/>
      <c r="K31" s="16" t="str">
        <f>IFERROR(__xludf.DUMMYFUNCTION("""COMPUTED_VALUE""")," Ambos os sexos são parecidos, possuindo ")</f>
        <v> Ambos os sexos são parecidos, possuindo </v>
      </c>
      <c r="L31" s="16" t="str">
        <f>IFERROR(__xludf.DUMMYFUNCTION("""COMPUTED_VALUE"""),"crisso")</f>
        <v>crisso</v>
      </c>
      <c r="M31" s="16" t="str">
        <f>IFERROR(__xludf.DUMMYFUNCTION("""COMPUTED_VALUE""")," e ")</f>
        <v> e </v>
      </c>
      <c r="N31" s="16" t="str">
        <f>IFERROR(__xludf.DUMMYFUNCTION("""COMPUTED_VALUE"""),"coberteiras")</f>
        <v>coberteiras</v>
      </c>
      <c r="O31" s="16" t="str">
        <f>IFERROR(__xludf.DUMMYFUNCTION("""COMPUTED_VALUE""")," inferiores da ")</f>
        <v> inferiores da </v>
      </c>
      <c r="P31" s="16" t="str">
        <f>IFERROR(__xludf.DUMMYFUNCTION("""COMPUTED_VALUE"""),"cauda")</f>
        <v>cauda</v>
      </c>
      <c r="Q31" s="16" t="str">
        <f>IFERROR(__xludf.DUMMYFUNCTION("""COMPUTED_VALUE""")," negros no macho e pardo escuros nas fêmeas.")</f>
        <v> negros no macho e pardo escuros nas fêmeas.</v>
      </c>
      <c r="R31" s="16"/>
      <c r="S31" s="16" t="str">
        <f>IFERROR(__xludf.DUMMYFUNCTION("""COMPUTED_VALUE""")," Jovens ")</f>
        <v> Jovens </v>
      </c>
      <c r="T31" s="16" t="str">
        <f>IFERROR(__xludf.DUMMYFUNCTION("""COMPUTED_VALUE"""),"imaturos")</f>
        <v>imaturos</v>
      </c>
      <c r="U31" s="16" t="str">
        <f>IFERROR(__xludf.DUMMYFUNCTION("""COMPUTED_VALUE""")," possuem o bico negro além de uma pequena comissura labial branco 
reluzente. Quase não possuem a ondulação e o vermelho intenso da ")</f>
        <v> possuem o bico negro além de uma pequena comissura labial branco 
reluzente. Quase não possuem a ondulação e o vermelho intenso da </v>
      </c>
      <c r="V31" s="16" t="str">
        <f>IFERROR(__xludf.DUMMYFUNCTION("""COMPUTED_VALUE"""),"plumagem")</f>
        <v>plumagem</v>
      </c>
      <c r="W31" s="16" t="str">
        <f>IFERROR(__xludf.DUMMYFUNCTION("""COMPUTED_VALUE""")," do adulto.")</f>
        <v> do adulto.</v>
      </c>
      <c r="X31" s="16"/>
      <c r="Y31" s="16" t="str">
        <f>IFERROR(__xludf.DUMMYFUNCTION("""COMPUTED_VALUE""")," O distintivo morfológico mais proeminente nos filhotes são as 
protuberâncias branco-resplandescentes na base da ")</f>
        <v> O distintivo morfológico mais proeminente nos filhotes são as 
protuberâncias branco-resplandescentes na base da </v>
      </c>
      <c r="Z31" s="16" t="str">
        <f>IFERROR(__xludf.DUMMYFUNCTION("""COMPUTED_VALUE"""),"maxila")</f>
        <v>maxila</v>
      </c>
      <c r="AA31" s="16" t="str">
        <f>IFERROR(__xludf.DUMMYFUNCTION("""COMPUTED_VALUE""")," e da ")</f>
        <v> e da </v>
      </c>
      <c r="AB31" s="16" t="str">
        <f>IFERROR(__xludf.DUMMYFUNCTION("""COMPUTED_VALUE"""),"mandíbula")</f>
        <v>mandíbula</v>
      </c>
      <c r="AC31" s="16" t="str">
        <f>IFERROR(__xludf.DUMMYFUNCTION("""COMPUTED_VALUE"""),", que refletem a luz, aparecendo como fosforescentes no interior escuro do 
ninho e orientando os pais para a alimentação. Essas protuberâncias secam 
depois que os filhotes deixam o ninho, mas permanecem no desenho da boca. ")</f>
        <v>, que refletem a luz, aparecendo como fosforescentes no interior escuro do 
ninho e orientando os pais para a alimentação. Essas protuberâncias secam 
depois que os filhotes deixam o ninho, mas permanecem no desenho da boca. </v>
      </c>
    </row>
    <row r="32" ht="15.75" customHeight="1">
      <c r="A32" s="6" t="s">
        <v>149</v>
      </c>
      <c r="B32" s="8" t="s">
        <v>150</v>
      </c>
      <c r="C32" s="14" t="s">
        <v>151</v>
      </c>
      <c r="D32" s="10" t="s">
        <v>152</v>
      </c>
      <c r="E32" s="9" t="s">
        <v>13</v>
      </c>
      <c r="F32" s="10" t="s">
        <v>153</v>
      </c>
      <c r="G32" s="11" t="s">
        <v>15</v>
      </c>
      <c r="H32" s="11" t="s">
        <v>15</v>
      </c>
      <c r="I32" s="16" t="str">
        <f>IFERROR(__xludf.DUMMYFUNCTION("IFERROR(INDEX(IMPORTXML(B32,""//h2[@id='caracteristicas']/following-sibling::div/p""),1),""Not Found"")")," Ave de médio porte, o bem-te-vi ou bem-te-vi verdadeiro mede entre 20,5 e 
25 centímetros de comprimento e pesa aproximadamente de 52-68 g. Tem o 
dorso pardo e a barriga de um amarelo vivo; uma listra (sobrancelha) branca 
no alto da cabeça, acima dos o"&amp;"lhos; cauda preta. O bico é preto, achatado, 
longo, resistente e um pouco encurvado. A garganta (zona logo abaixo do 
bico) é de cor branca. Possui um topete amarelo somente visível quando a 
ave o eriça em determinadas situações.")</f>
        <v> Ave de médio porte, o bem-te-vi ou bem-te-vi verdadeiro mede entre 20,5 e 
25 centímetros de comprimento e pesa aproximadamente de 52-68 g. Tem o 
dorso pardo e a barriga de um amarelo vivo; uma listra (sobrancelha) branca 
no alto da cabeça, acima dos olhos; cauda preta. O bico é preto, achatado, 
longo, resistente e um pouco encurvado. A garganta (zona logo abaixo do 
bico) é de cor branca. Possui um topete amarelo somente visível quando a 
ave o eriça em determinadas situações.</v>
      </c>
      <c r="J32" s="16"/>
      <c r="K32" s="16" t="str">
        <f>IFERROR(__xludf.DUMMYFUNCTION("""COMPUTED_VALUE""")," O seu canto trissilábico característico lembra as sílabas bem-te-vi, que 
dão o nome à espécie. Portanto, seu nome popular possui origem onomatopeica.")</f>
        <v> O seu canto trissilábico característico lembra as sílabas bem-te-vi, que 
dão o nome à espécie. Portanto, seu nome popular possui origem onomatopeica.</v>
      </c>
      <c r="L32" s="16"/>
      <c r="M32" s="16" t="str">
        <f>IFERROR(__xludf.DUMMYFUNCTION("""COMPUTED_VALUE""")," Existem várias espécies de tiranídeos com o mesmo padrão de cores, dentre 
as quais 4 são particularmente similares ao bem-te-vi: o ")</f>
        <v> Existem várias espécies de tiranídeos com o mesmo padrão de cores, dentre 
as quais 4 são particularmente similares ao bem-te-vi: o </v>
      </c>
      <c r="N32" s="16" t="str">
        <f>IFERROR(__xludf.DUMMYFUNCTION("""COMPUTED_VALUE"""),"neinei")</f>
        <v>neinei</v>
      </c>
      <c r="O32" s="16" t="str">
        <f>IFERROR(__xludf.DUMMYFUNCTION("""COMPUTED_VALUE""")," (")</f>
        <v> (</v>
      </c>
      <c r="P32" s="16" t="str">
        <f>IFERROR(__xludf.DUMMYFUNCTION("""COMPUTED_VALUE"""),"Megarynchus pitangua")</f>
        <v>Megarynchus pitangua</v>
      </c>
      <c r="Q32" s="16" t="str">
        <f>IFERROR(__xludf.DUMMYFUNCTION("""COMPUTED_VALUE"""),"), o ")</f>
        <v>), o </v>
      </c>
      <c r="R32" s="16" t="str">
        <f>IFERROR(__xludf.DUMMYFUNCTION("""COMPUTED_VALUE"""),"bentevizinho-do-brejo")</f>
        <v>bentevizinho-do-brejo</v>
      </c>
      <c r="S32" s="16" t="str">
        <f>IFERROR(__xludf.DUMMYFUNCTION("""COMPUTED_VALUE""")," (")</f>
        <v> (</v>
      </c>
      <c r="T32" s="16" t="str">
        <f>IFERROR(__xludf.DUMMYFUNCTION("""COMPUTED_VALUE"""),"Philohydor lictor")</f>
        <v>Philohydor lictor</v>
      </c>
      <c r="U32" s="16" t="str">
        <f>IFERROR(__xludf.DUMMYFUNCTION("""COMPUTED_VALUE"""),"), e os dois bentevizinhos do gênero Myiozetetes, o ")</f>
        <v>), e os dois bentevizinhos do gênero Myiozetetes, o </v>
      </c>
      <c r="V32" s="16" t="str">
        <f>IFERROR(__xludf.DUMMYFUNCTION("""COMPUTED_VALUE"""),"bentevizinho-de-penacho-vermelho")</f>
        <v>bentevizinho-de-penacho-vermelho</v>
      </c>
      <c r="W32" s="16" t="str">
        <f>IFERROR(__xludf.DUMMYFUNCTION("""COMPUTED_VALUE""")," (")</f>
        <v> (</v>
      </c>
      <c r="X32" s="16" t="str">
        <f>IFERROR(__xludf.DUMMYFUNCTION("""COMPUTED_VALUE"""),"Myiozetetes similis")</f>
        <v>Myiozetetes similis</v>
      </c>
      <c r="Y32" s="16" t="str">
        <f>IFERROR(__xludf.DUMMYFUNCTION("""COMPUTED_VALUE"""),") e o ")</f>
        <v>) e o </v>
      </c>
      <c r="Z32" s="16" t="str">
        <f>IFERROR(__xludf.DUMMYFUNCTION("""COMPUTED_VALUE"""),"bentevizinho-de-asa-ferruginea")</f>
        <v>bentevizinho-de-asa-ferruginea</v>
      </c>
      <c r="AA32" s="16" t="str">
        <f>IFERROR(__xludf.DUMMYFUNCTION("""COMPUTED_VALUE""")," (")</f>
        <v> (</v>
      </c>
      <c r="AB32" s="16" t="str">
        <f>IFERROR(__xludf.DUMMYFUNCTION("""COMPUTED_VALUE"""),"Myiozetetes cayanensis")</f>
        <v>Myiozetetes cayanensis</v>
      </c>
      <c r="AC32" s="16" t="str">
        <f>IFERROR(__xludf.DUMMYFUNCTION("""COMPUTED_VALUE"""),"). O ")</f>
        <v>). O </v>
      </c>
      <c r="AD32" s="16" t="str">
        <f>IFERROR(__xludf.DUMMYFUNCTION("""COMPUTED_VALUE"""),"neinei")</f>
        <v>neinei</v>
      </c>
      <c r="AE32" s="16" t="str">
        <f>IFERROR(__xludf.DUMMYFUNCTION("""COMPUTED_VALUE""")," é do mesmo tamanho do bem-te-vi, mas possui um bico maior e bem mais 
largo, o ")</f>
        <v> é do mesmo tamanho do bem-te-vi, mas possui um bico maior e bem mais 
largo, o </v>
      </c>
      <c r="AF32" s="16" t="str">
        <f>IFERROR(__xludf.DUMMYFUNCTION("""COMPUTED_VALUE"""),"bentevizinho-do-brejo")</f>
        <v>bentevizinho-do-brejo</v>
      </c>
      <c r="AG32" s="16" t="str">
        <f>IFERROR(__xludf.DUMMYFUNCTION("""COMPUTED_VALUE""")," é mais esbelto, menor e apresenta o bico proporcionalmente mais afinado 
achatado. Já os bentevizinhos do gênero Myiozetetes são menores, possuem o 
bico cônico e proporcionalmente menor e as sobrancelhas brancas menos 
definidas. ")</f>
        <v> é mais esbelto, menor e apresenta o bico proporcionalmente mais afinado 
achatado. Já os bentevizinhos do gênero Myiozetetes são menores, possuem o 
bico cônico e proporcionalmente menor e as sobrancelhas brancas menos 
definidas. </v>
      </c>
    </row>
    <row r="33" ht="15.75" customHeight="1">
      <c r="A33" s="6" t="s">
        <v>154</v>
      </c>
      <c r="B33" s="8" t="s">
        <v>155</v>
      </c>
      <c r="C33" s="14" t="s">
        <v>156</v>
      </c>
      <c r="D33" s="10" t="s">
        <v>157</v>
      </c>
      <c r="E33" s="9" t="s">
        <v>13</v>
      </c>
      <c r="F33" s="17" t="s">
        <v>111</v>
      </c>
      <c r="G33" s="11" t="s">
        <v>15</v>
      </c>
      <c r="H33" s="11" t="s">
        <v>15</v>
      </c>
      <c r="I33" s="16" t="str">
        <f>IFERROR(__xludf.DUMMYFUNCTION("IFERROR(INDEX(IMPORTXML(B33,""//h2[@id='caracteristicas']/following-sibling::div/p""),1),""Not Found"")")," Mede entre 14,5 e 17 centímetros de comprimento e pesa entre 19 e 26 
gramas.")</f>
        <v> Mede entre 14,5 e 17 centímetros de comprimento e pesa entre 19 e 26 
gramas.</v>
      </c>
      <c r="J33" s="16"/>
      <c r="K33" s="16" t="str">
        <f>IFERROR(__xludf.DUMMYFUNCTION("""COMPUTED_VALUE""")," Apresenta a testa e a coroa esbranquiçadas, o píleo amarelo nem sempre 
visível, ampla faixa transocular escura. Estria malar escura. O ventre é 
esbranquiçado com estrias acinzentadas, podendo apresentar coloração 
amarela suave nos flancos. Crisso estr"&amp;"iado. Porção superior do corpo 
acinzentada. Manto cinzento uniforme. Rêmiges cinzentas com a borda 
esbranquiçada. Retrizes cinzentas.")</f>
        <v> Apresenta a testa e a coroa esbranquiçadas, o píleo amarelo nem sempre 
visível, ampla faixa transocular escura. Estria malar escura. O ventre é 
esbranquiçado com estrias acinzentadas, podendo apresentar coloração 
amarela suave nos flancos. Crisso estriado. Porção superior do corpo 
acinzentada. Manto cinzento uniforme. Rêmiges cinzentas com a borda 
esbranquiçada. Retrizes cinzentas.</v>
      </c>
      <c r="L33" s="16"/>
      <c r="M33" s="16" t="str">
        <f>IFERROR(__xludf.DUMMYFUNCTION("""COMPUTED_VALUE""")," Olhos, bicos escuros. Tarsos e pés cinzentos.")</f>
        <v> Olhos, bicos escuros. Tarsos e pés cinzentos.</v>
      </c>
      <c r="N33" s="16"/>
      <c r="O33" s="16" t="str">
        <f>IFERROR(__xludf.DUMMYFUNCTION("""COMPUTED_VALUE""")," O menor dos “bem-te-vis rajados”, no período reprodutivo vocaliza 
praticamente o dia todo em locais expostos e torna-se notável. Em 
comparação com o ")</f>
        <v> O menor dos “bem-te-vis rajados”, no período reprodutivo vocaliza 
praticamente o dia todo em locais expostos e torna-se notável. Em 
comparação com o </v>
      </c>
      <c r="P33" s="16" t="str">
        <f>IFERROR(__xludf.DUMMYFUNCTION("""COMPUTED_VALUE"""),"peitica")</f>
        <v>peitica</v>
      </c>
      <c r="Q33" s="16" t="str">
        <f>IFERROR(__xludf.DUMMYFUNCTION("""COMPUTED_VALUE""")," (")</f>
        <v> (</v>
      </c>
      <c r="R33" s="16" t="str">
        <f>IFERROR(__xludf.DUMMYFUNCTION("""COMPUTED_VALUE"""),"Empidonomus varius")</f>
        <v>Empidonomus varius</v>
      </c>
      <c r="S33" s="16" t="str">
        <f>IFERROR(__xludf.DUMMYFUNCTION("""COMPUTED_VALUE"""),"), o bico é menor e a cauda mais curta, conferindo um aspecto mais 
atarracado ao bem-te-vi-pirata. Sob excelentes condições, é possível 
observar que falta a esse a borda castanha da parte superior das penas da 
cauda daquele. Entretanto, como sempre os "&amp;"vemos contra o céu, as 
características comportamentais são grandes auxiliares. O nome pirata vem 
do hábito de tomarem ninhos construídos por outras espécies para 
reproduzirem. ")</f>
        <v>), o bico é menor e a cauda mais curta, conferindo um aspecto mais 
atarracado ao bem-te-vi-pirata. Sob excelentes condições, é possível 
observar que falta a esse a borda castanha da parte superior das penas da 
cauda daquele. Entretanto, como sempre os vemos contra o céu, as 
características comportamentais são grandes auxiliares. O nome pirata vem 
do hábito de tomarem ninhos construídos por outras espécies para 
reproduzirem. </v>
      </c>
    </row>
    <row r="34" ht="15.75" customHeight="1">
      <c r="A34" s="6" t="s">
        <v>158</v>
      </c>
      <c r="B34" s="8" t="s">
        <v>159</v>
      </c>
      <c r="C34" s="14" t="s">
        <v>160</v>
      </c>
      <c r="D34" s="10" t="s">
        <v>161</v>
      </c>
      <c r="E34" s="9" t="s">
        <v>13</v>
      </c>
      <c r="F34" s="10" t="s">
        <v>53</v>
      </c>
      <c r="G34" s="11" t="s">
        <v>15</v>
      </c>
      <c r="H34" s="11" t="s">
        <v>15</v>
      </c>
      <c r="I34" s="16" t="str">
        <f>IFERROR(__xludf.DUMMYFUNCTION("IFERROR(INDEX(IMPORTXML(B34,""//h2[@id='caracteristicas']/following-sibling::div/p""),1),""Not Found"")")," Mede entre 16 e 18,5 centímetros de comprimento e pesa entre 24 e 27 
gramas. Espécie sem dimorfismo sexual aparente. ")</f>
        <v> Mede entre 16 e 18,5 centímetros de comprimento e pesa entre 24 e 27 
gramas. Espécie sem dimorfismo sexual aparente. </v>
      </c>
      <c r="J34" s="16"/>
      <c r="K34" s="16" t="str">
        <f>IFERROR(__xludf.DUMMYFUNCTION("""COMPUTED_VALUE""")," Ave com a aparência geral desbotada. Apresenta o píleo marrom escuro 
fuliginoso com uma grande mancha central quase sempre oculta, de coloração 
vermelho vibrante. Uma larga faixa superciliar branca com os dois lados 
opostos confluentes na testa e não "&amp;"confluentes na nuca. As regiões lorais e 
orbitais apresentam máscara escura de coloração uniformemente marrom escuro 
fuliginoso e as regiões auriculares e as laterais do pescoço são de 
coloração cinzenta que causam perceptível contraste com a máscara 
"&amp;"fuliginosa escura. A região posterior do pescoço, o dorso, os escapulários, 
e uropígio são de coloração marrom-oliveáceo. As rêmiges primárias, 
secundárias e coberteiras maiores das asas são marrons marginados de 
coloração pardo-olivácea. As rêmiges pr"&amp;"imárias proximais e rêmiges 
secundárias são marginadas com coloração acastanhada pálida. As rêmiges 
primárias distais apresentam marginações de coloração castanha ou canela. 
As penas supracaudais e as retrizes apresentam coloração geral 
marrom-acinzen"&amp;"tada com estreitas bordas acastanhadas. Queixo e garganta são 
brancos. A região peitoral superior apresenta um semi-colar verde oliváceo, 
de intensidade variável, sobre fundo amarelo-pálido. As demais partes 
inferiores, incluindo axilares e coberteiras"&amp;" inferiores das asas, são de 
coloração amarelo-pálido ou apresentam uniforme coloração amarelo-limão.")</f>
        <v> Ave com a aparência geral desbotada. Apresenta o píleo marrom escuro 
fuliginoso com uma grande mancha central quase sempre oculta, de coloração 
vermelho vibrante. Uma larga faixa superciliar branca com os dois lados 
opostos confluentes na testa e não confluentes na nuca. As regiões lorais e 
orbitais apresentam máscara escura de coloração uniformemente marrom escuro 
fuliginoso e as regiões auriculares e as laterais do pescoço são de 
coloração cinzenta que causam perceptível contraste com a máscara 
fuliginosa escura. A região posterior do pescoço, o dorso, os escapulários, 
e uropígio são de coloração marrom-oliveáceo. As rêmiges primárias, 
secundárias e coberteiras maiores das asas são marrons marginados de 
coloração pardo-olivácea. As rêmiges primárias proximais e rêmiges 
secundárias são marginadas com coloração acastanhada pálida. As rêmiges 
primárias distais apresentam marginações de coloração castanha ou canela. 
As penas supracaudais e as retrizes apresentam coloração geral 
marrom-acinzentada com estreitas bordas acastanhadas. Queixo e garganta são 
brancos. A região peitoral superior apresenta um semi-colar verde oliváceo, 
de intensidade variável, sobre fundo amarelo-pálido. As demais partes 
inferiores, incluindo axilares e coberteiras inferiores das asas, são de 
coloração amarelo-pálido ou apresentam uniforme coloração amarelo-limão.</v>
      </c>
      <c r="L34" s="16"/>
      <c r="M34" s="16" t="str">
        <f>IFERROR(__xludf.DUMMYFUNCTION("""COMPUTED_VALUE""")," Bico, pernas e pés pretos; íris claras.")</f>
        <v> Bico, pernas e pés pretos; íris claras.</v>
      </c>
      <c r="N34" s="16"/>
      <c r="O34" s="16" t="str">
        <f>IFERROR(__xludf.DUMMYFUNCTION("""COMPUTED_VALUE""")," Os juvenis de todas as subespécies de ")</f>
        <v> Os juvenis de todas as subespécies de </v>
      </c>
      <c r="P34" s="16" t="str">
        <f>IFERROR(__xludf.DUMMYFUNCTION("""COMPUTED_VALUE"""),"bentevizinho-de-penacho-vermelho")</f>
        <v>bentevizinho-de-penacho-vermelho</v>
      </c>
      <c r="Q34" s="16" t="str">
        <f>IFERROR(__xludf.DUMMYFUNCTION("""COMPUTED_VALUE""")," com cores mais pálidas, desbotadas que os adultos. Apresentam as penas 
coberteiras das asas, as rêmiges e as retrizes com bordas fortemente 
acastanhadas. As íris dos jovens são escuras. ")</f>
        <v> com cores mais pálidas, desbotadas que os adultos. Apresentam as penas 
coberteiras das asas, as rêmiges e as retrizes com bordas fortemente 
acastanhadas. As íris dos jovens são escuras. </v>
      </c>
      <c r="R34" s="16"/>
      <c r="S34" s="16"/>
      <c r="T34" s="16"/>
      <c r="U34" s="16"/>
      <c r="V34" s="16"/>
      <c r="W34" s="16"/>
    </row>
    <row r="35" ht="15.75" customHeight="1">
      <c r="A35" s="6" t="s">
        <v>162</v>
      </c>
      <c r="B35" s="8" t="s">
        <v>163</v>
      </c>
      <c r="C35" s="14" t="s">
        <v>164</v>
      </c>
      <c r="D35" s="10" t="s">
        <v>165</v>
      </c>
      <c r="E35" s="9" t="s">
        <v>13</v>
      </c>
      <c r="F35" s="10" t="s">
        <v>25</v>
      </c>
      <c r="G35" s="11" t="s">
        <v>15</v>
      </c>
      <c r="H35" s="11" t="s">
        <v>15</v>
      </c>
      <c r="I35" s="16" t="str">
        <f>IFERROR(__xludf.DUMMYFUNCTION("IFERROR(INDEX(IMPORTXML(B35,""//h2[@id='caracteristicas']/following-sibling::div/p""),1),""Not Found"")")," O suiriri (")</f>
        <v> O suiriri (</v>
      </c>
      <c r="J35" s="16" t="str">
        <f>IFERROR(__xludf.DUMMYFUNCTION("""COMPUTED_VALUE"""),"Tyrannus melancholicus")</f>
        <v>Tyrannus melancholicus</v>
      </c>
      <c r="K35" s="16" t="str">
        <f>IFERROR(__xludf.DUMMYFUNCTION("""COMPUTED_VALUE"""),") possui a cabeça predominantemente cinza, com a garganta mais clara, 
tendendo ao branco, e uma faixa difusa mais escura na região ocular e 
auricular. O píleo é de coloração laranja — uma característica visível 
quando eriça o topete em suas disputas te"&amp;"rritoriais. O peito possui 
coloração verde-oliva, destacando-se da coloração amarela da barriga. Mede 
entre 18 e 24,5 centímetros de comprimento e pesa entre 32 e 43 gramas 
(Mobley, 2016). Os imaturos são similares aos adultos, mas as bordas das 
cober"&amp;"teiras são acastanhadas. ")</f>
        <v>) possui a cabeça predominantemente cinza, com a garganta mais clara, 
tendendo ao branco, e uma faixa difusa mais escura na região ocular e 
auricular. O píleo é de coloração laranja — uma característica visível 
quando eriça o topete em suas disputas territoriais. O peito possui 
coloração verde-oliva, destacando-se da coloração amarela da barriga. Mede 
entre 18 e 24,5 centímetros de comprimento e pesa entre 32 e 43 gramas 
(Mobley, 2016). Os imaturos são similares aos adultos, mas as bordas das 
coberteiras são acastanhadas. </v>
      </c>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row>
    <row r="36" ht="15.75" customHeight="1">
      <c r="A36" s="6" t="s">
        <v>166</v>
      </c>
      <c r="B36" s="8" t="s">
        <v>167</v>
      </c>
      <c r="C36" s="14" t="s">
        <v>168</v>
      </c>
      <c r="D36" s="10" t="s">
        <v>169</v>
      </c>
      <c r="E36" s="9" t="s">
        <v>13</v>
      </c>
      <c r="F36" s="17" t="s">
        <v>170</v>
      </c>
      <c r="G36" s="11" t="s">
        <v>15</v>
      </c>
      <c r="H36" s="11" t="s">
        <v>15</v>
      </c>
      <c r="I36" s="16" t="str">
        <f>IFERROR(__xludf.DUMMYFUNCTION("IFERROR(INDEX(IMPORTXML(B36,""//h2[@id='caracteristicas']/following-sibling::div/p""),1),""Not Found"")")," Mede aproximadamente 10,5-11,5 centímetros e pesa cerca de 8-10 gramas. O 
dorso é marrom-escuro. As asas e a cauda são marrom-escuras; as rêmiges 
primárias possuem leve bordeamento esbranquiçado, mais evidente na base. O 
peito e o uropígio são amarelo"&amp;"s. O ventre e o crisso são amarelo-limão, e 
por vezes esbranquiçados. A coroa e a face tem coloração negra; evidente 
faixa superciliar branca; garganta cinzenta. O bico é curvado e pontudo, 
negro e de base rosada. ")</f>
        <v> Mede aproximadamente 10,5-11,5 centímetros e pesa cerca de 8-10 gramas. O 
dorso é marrom-escuro. As asas e a cauda são marrom-escuras; as rêmiges 
primárias possuem leve bordeamento esbranquiçado, mais evidente na base. O 
peito e o uropígio são amarelos. O ventre e o crisso são amarelo-limão, e 
por vezes esbranquiçados. A coroa e a face tem coloração negra; evidente 
faixa superciliar branca; garganta cinzenta. O bico é curvado e pontudo, 
negro e de base rosada. </v>
      </c>
      <c r="J36" s="16"/>
      <c r="K36" s="16"/>
    </row>
    <row r="37" ht="15.75" customHeight="1">
      <c r="A37" s="6" t="s">
        <v>171</v>
      </c>
      <c r="B37" s="8" t="s">
        <v>172</v>
      </c>
      <c r="C37" s="14" t="s">
        <v>173</v>
      </c>
      <c r="D37" s="10" t="s">
        <v>174</v>
      </c>
      <c r="E37" s="9" t="s">
        <v>13</v>
      </c>
      <c r="F37" s="17" t="s">
        <v>175</v>
      </c>
      <c r="G37" s="11" t="s">
        <v>15</v>
      </c>
      <c r="H37" s="11" t="s">
        <v>16</v>
      </c>
      <c r="I37" s="16" t="str">
        <f>IFERROR(__xludf.DUMMYFUNCTION("IFERROR(INDEX(IMPORTXML(B37,""//h2[@id='caracteristicas']/following-sibling::div/p""),1),""Not Found"")")," Mede de 23 a 28 cm. O contraste entre o negro do corpo e o branco do alto 
da cabeça é exclusivo desta espécie. Quando voa, é possível ver a grande 
área branca nas costas, antes da cauda. As duas penas centrais da cauda são 
muito longas (chegam a 10 ce"&amp;"ntímetros nos machos) e destacam-se pelo 
comprimento e pelo alargamento nas pontas. As fêmeas possuem-nas menores, 
embora seja necessário observar o casal junto para ter certeza dos sexos. ")</f>
        <v> Mede de 23 a 28 cm. O contraste entre o negro do corpo e o branco do alto 
da cabeça é exclusivo desta espécie. Quando voa, é possível ver a grande 
área branca nas costas, antes da cauda. As duas penas centrais da cauda são 
muito longas (chegam a 10 centímetros nos machos) e destacam-se pelo 
comprimento e pelo alargamento nas pontas. As fêmeas possuem-nas menores, 
embora seja necessário observar o casal junto para ter certeza dos sexos. </v>
      </c>
    </row>
    <row r="38" ht="15.75" customHeight="1">
      <c r="A38" s="6" t="s">
        <v>176</v>
      </c>
      <c r="B38" s="18" t="s">
        <v>177</v>
      </c>
      <c r="C38" s="19" t="s">
        <v>178</v>
      </c>
      <c r="D38" s="20" t="s">
        <v>179</v>
      </c>
      <c r="E38" s="9" t="s">
        <v>13</v>
      </c>
      <c r="F38" s="17" t="s">
        <v>180</v>
      </c>
      <c r="G38" s="11" t="s">
        <v>15</v>
      </c>
      <c r="H38" s="11" t="s">
        <v>15</v>
      </c>
      <c r="I38" s="16" t="str">
        <f>IFERROR(__xludf.DUMMYFUNCTION("IFERROR(INDEX(IMPORTXML(B38,""//h2[@id='caracteristicas']/following-sibling::div/p""),1),""Not Found"")")," Pássaro de porte médio que mede 15 centímetros de comprimento. Possui o 
corpo compacto, com asas e cauda de tamanhos regulares, pernas e pés 
delgados e bico cônico e forte. A coloração dorsal é pardo-acinzentada, 
tendo a cabeça cinza com duas tiras ne"&amp;"gras que partem da base da maxila 
indo até a nuca, com parte central cinza, também partindo da mesma base e 
alargando-se para a nuca.")</f>
        <v> Pássaro de porte médio que mede 15 centímetros de comprimento. Possui o 
corpo compacto, com asas e cauda de tamanhos regulares, pernas e pés 
delgados e bico cônico e forte. A coloração dorsal é pardo-acinzentada, 
tendo a cabeça cinza com duas tiras negras que partem da base da maxila 
indo até a nuca, com parte central cinza, também partindo da mesma base e 
alargando-se para a nuca.</v>
      </c>
      <c r="J38" s="16"/>
      <c r="K38" s="16" t="str">
        <f>IFERROR(__xludf.DUMMYFUNCTION("""COMPUTED_VALUE""")," As faces são de cor cinza, com duas tiras negras de cada lado que vão até 
a região do pescoço, uma partindo do canto posterior do olho e outra do 
canto do bico. Pescoço com uma faixa cintada de cor vermelho-ferrugínea que 
desce até os lados do peito a"&amp;"lto, onde se encontra com uma mancha negra.")</f>
        <v> As faces são de cor cinza, com duas tiras negras de cada lado que vão até 
a região do pescoço, uma partindo do canto posterior do olho e outra do 
canto do bico. Pescoço com uma faixa cintada de cor vermelho-ferrugínea que 
desce até os lados do peito alto, onde se encontra com uma mancha negra.</v>
      </c>
      <c r="L38" s="16"/>
      <c r="M38" s="16" t="str">
        <f>IFERROR(__xludf.DUMMYFUNCTION("""COMPUTED_VALUE""")," Porção intermediária dorsal de cor pardo-cinza com coberteiras, inclusive 
das asas com manchas negras e restante do baixo dorso pardo-cinza. No 
encontro das asas as penas terminam com faixa branca. Garganta branca, 
peito e abdômen cinza-esbranquiçados"&amp;", sendo mais claro na parte central. 
Apresenta um pequeno topete com desenho estriado na cabeça. ")</f>
        <v> Porção intermediária dorsal de cor pardo-cinza com coberteiras, inclusive 
das asas com manchas negras e restante do baixo dorso pardo-cinza. No 
encontro das asas as penas terminam com faixa branca. Garganta branca, 
peito e abdômen cinza-esbranquiçados, sendo mais claro na parte central. 
Apresenta um pequeno topete com desenho estriado na cabeça. </v>
      </c>
      <c r="N38" s="16"/>
      <c r="O38" s="16"/>
    </row>
    <row r="39" ht="15.75" customHeight="1">
      <c r="A39" s="6" t="s">
        <v>181</v>
      </c>
      <c r="B39" s="8" t="s">
        <v>182</v>
      </c>
      <c r="C39" s="14" t="s">
        <v>183</v>
      </c>
      <c r="D39" s="10" t="s">
        <v>184</v>
      </c>
      <c r="E39" s="9" t="s">
        <v>13</v>
      </c>
      <c r="F39" s="10" t="s">
        <v>53</v>
      </c>
      <c r="G39" s="11" t="s">
        <v>16</v>
      </c>
      <c r="H39" s="11" t="s">
        <v>15</v>
      </c>
      <c r="I39" s="16" t="str">
        <f>IFERROR(__xludf.DUMMYFUNCTION("IFERROR(INDEX(IMPORTXML(B39,""//h2[@id='caracteristicas']/following-sibling::div/p""),1),""Not Found"")")," Mede 11,5 cm de comprimento e pesa 10,5 g. Apresenta plumagem muito 
distinta em relação ao seu gênero, assemelhando-se mais a certas espécies 
do gênero ")</f>
        <v> Mede 11,5 cm de comprimento e pesa 10,5 g. Apresenta plumagem muito 
distinta em relação ao seu gênero, assemelhando-se mais a certas espécies 
do gênero </v>
      </c>
      <c r="J39" s="16" t="str">
        <f>IFERROR(__xludf.DUMMYFUNCTION("""COMPUTED_VALUE"""),"Drymophila")</f>
        <v>Drymophila</v>
      </c>
      <c r="K39" s="16" t="str">
        <f>IFERROR(__xludf.DUMMYFUNCTION("""COMPUTED_VALUE"""),", das quais se distingue pelo ventre amarelo, comum a ambos os sexos, ou 
então a certos ")</f>
        <v>, das quais se distingue pelo ventre amarelo, comum a ambos os sexos, ou 
então a certos </v>
      </c>
      <c r="L39" s="16" t="str">
        <f>IFERROR(__xludf.DUMMYFUNCTION("""COMPUTED_VALUE"""),"Terenura")</f>
        <v>Terenura</v>
      </c>
      <c r="M39" s="16" t="str">
        <f>IFERROR(__xludf.DUMMYFUNCTION("""COMPUTED_VALUE"""),", dos quais se distingue pelo padrão facial e pelas asas ruivas. A cor do 
alto da cabeça é diferente nos dois sexos: preto no macho e 
castanho-ferrugíneo na fêmea. ")</f>
        <v>, dos quais se distingue pelo padrão facial e pelas asas ruivas. A cor do 
alto da cabeça é diferente nos dois sexos: preto no macho e 
castanho-ferrugíneo na fêmea. </v>
      </c>
    </row>
    <row r="40" ht="15.75" customHeight="1">
      <c r="A40" s="6" t="s">
        <v>185</v>
      </c>
      <c r="B40" s="8" t="s">
        <v>186</v>
      </c>
      <c r="C40" s="8" t="s">
        <v>187</v>
      </c>
      <c r="D40" s="9" t="s">
        <v>188</v>
      </c>
      <c r="E40" s="9" t="s">
        <v>13</v>
      </c>
      <c r="F40" s="17" t="s">
        <v>189</v>
      </c>
      <c r="G40" s="11" t="s">
        <v>15</v>
      </c>
      <c r="H40" s="11" t="s">
        <v>16</v>
      </c>
      <c r="I40" s="16" t="str">
        <f>IFERROR(__xludf.DUMMYFUNCTION("IFERROR(INDEX(IMPORTXML(B40,""//h2[@id='caracteristicas']/following-sibling::div/p""),1),""Not Found"")")," É considerado o maior pica-pau do Brasil, medindo cerca de 36 centímetros 
de comprimento, com peso médio de 200 gramas. De rara beleza, possui a 
cabeça e o pescoço vermelhos, dorso creme, asas e cauda negras. O peito e o 
ventre são brancos, inteiramen"&amp;"te barrados de finas faixas horizontais 
negras. O macho tem uma pequena mancha auricular preta e branca, enquanto a 
fêmea possui uma grande estria malar branca, vilada de negro. Assim como as 
demais espécies de pica-pau. ")</f>
        <v> É considerado o maior pica-pau do Brasil, medindo cerca de 36 centímetros 
de comprimento, com peso médio de 200 gramas. De rara beleza, possui a 
cabeça e o pescoço vermelhos, dorso creme, asas e cauda negras. O peito e o 
ventre são brancos, inteiramente barrados de finas faixas horizontais 
negras. O macho tem uma pequena mancha auricular preta e branca, enquanto a 
fêmea possui uma grande estria malar branca, vilada de negro. Assim como as 
demais espécies de pica-pau. </v>
      </c>
      <c r="J40" s="16" t="str">
        <f>IFERROR(__xludf.DUMMYFUNCTION("""COMPUTED_VALUE"""),"C. robustus")</f>
        <v>C. robustus</v>
      </c>
      <c r="K40" s="16" t="str">
        <f>IFERROR(__xludf.DUMMYFUNCTION("""COMPUTED_VALUE""")," possui um canto territorial, diversos tipos de chamados e uma música 
instrumental, o “tamborilar”. Ela é executada através de repetidos golpes 
do bico sobre a superfície de troncos secos ou ocos, substrato escolhido de 
maneira a proporcionar boa ampli"&amp;"ação da sonoridade e alcance do ruído. ")</f>
        <v> possui um canto territorial, diversos tipos de chamados e uma música 
instrumental, o “tamborilar”. Ela é executada através de repetidos golpes 
do bico sobre a superfície de troncos secos ou ocos, substrato escolhido de 
maneira a proporcionar boa ampliação da sonoridade e alcance do ruído. </v>
      </c>
      <c r="L40" s="16" t="str">
        <f>IFERROR(__xludf.DUMMYFUNCTION("""COMPUTED_VALUE"""),"C. robustus")</f>
        <v>C. robustus</v>
      </c>
      <c r="M40" s="16" t="str">
        <f>IFERROR(__xludf.DUMMYFUNCTION("""COMPUTED_VALUE""")," faz um “tamborilar” bissilábico, que pode soar como uma voz e ser 
individualmente diferente. ")</f>
        <v> faz um “tamborilar” bissilábico, que pode soar como uma voz e ser 
individualmente diferente. </v>
      </c>
    </row>
    <row r="41" ht="15.75" customHeight="1">
      <c r="A41" s="6" t="s">
        <v>190</v>
      </c>
      <c r="B41" s="18" t="s">
        <v>191</v>
      </c>
      <c r="C41" s="18" t="s">
        <v>192</v>
      </c>
      <c r="D41" s="24" t="s">
        <v>193</v>
      </c>
      <c r="E41" s="9" t="s">
        <v>13</v>
      </c>
      <c r="F41" s="17" t="s">
        <v>194</v>
      </c>
      <c r="G41" s="11" t="s">
        <v>16</v>
      </c>
      <c r="H41" s="11" t="s">
        <v>16</v>
      </c>
      <c r="I41" s="16" t="str">
        <f>IFERROR(__xludf.DUMMYFUNCTION("IFERROR(INDEX(IMPORTXML(B41,""//h2[@id='caracteristicas']/following-sibling::div/p""),1),""Not Found"")")," Mede entre 27 e 30 centímetros de comprimento e pesa entre 110 e 165 
gramas.")</f>
        <v> Mede entre 27 e 30 centímetros de comprimento e pesa entre 110 e 165 
gramas.</v>
      </c>
      <c r="J41" s="16"/>
      <c r="K41" s="16" t="str">
        <f>IFERROR(__xludf.DUMMYFUNCTION("""COMPUTED_VALUE""")," Cabeça e face amarelos, com proeminente topete da mesma cor; macho com 
faixa malar vermelha. Partes superiores pretas, barradas de branco e partes 
inferiores uniformemente pretas. Muito semelhante ao ")</f>
        <v> Cabeça e face amarelos, com proeminente topete da mesma cor; macho com 
faixa malar vermelha. Partes superiores pretas, barradas de branco e partes 
inferiores uniformemente pretas. Muito semelhante ao </v>
      </c>
      <c r="L41" s="16" t="str">
        <f>IFERROR(__xludf.DUMMYFUNCTION("""COMPUTED_VALUE"""),"Celeus ochraceus")</f>
        <v>Celeus ochraceus</v>
      </c>
      <c r="M41" s="16" t="str">
        <f>IFERROR(__xludf.DUMMYFUNCTION("""COMPUTED_VALUE"""),", se diferencia deste por possuir uma coloração mais preta e menos 
amarelada, diferente do Celeus Ochraceus. ")</f>
        <v>, se diferencia deste por possuir uma coloração mais preta e menos 
amarelada, diferente do Celeus Ochraceus. </v>
      </c>
      <c r="N41" s="16"/>
      <c r="O41" s="16"/>
      <c r="P41" s="16"/>
      <c r="Q41" s="16"/>
    </row>
    <row r="42" ht="15.75" customHeight="1">
      <c r="A42" s="6" t="s">
        <v>195</v>
      </c>
      <c r="B42" s="8" t="s">
        <v>196</v>
      </c>
      <c r="C42" s="14" t="s">
        <v>197</v>
      </c>
      <c r="D42" s="10" t="s">
        <v>198</v>
      </c>
      <c r="E42" s="9" t="s">
        <v>13</v>
      </c>
      <c r="F42" s="10" t="s">
        <v>53</v>
      </c>
      <c r="G42" s="11" t="s">
        <v>16</v>
      </c>
      <c r="H42" s="11" t="s">
        <v>16</v>
      </c>
      <c r="I42" s="16" t="str">
        <f>IFERROR(__xludf.DUMMYFUNCTION("IFERROR(INDEX(IMPORTXML(B42,""//h2[@id='caracteristicas']/following-sibling::div/p""),1),""Not Found"")")," Tem cerca de 19,5 centímetros. Espécie multicolorida. Fronte e garganta 
amarelo-vivos, vértice posterior e nuca vermelhos no macho e pretos na 
fêmea; pescoço posterior, dorso superior e asas negros; dorso inferior e ")</f>
        <v> Tem cerca de 19,5 centímetros. Espécie multicolorida. Fronte e garganta 
amarelo-vivos, vértice posterior e nuca vermelhos no macho e pretos na 
fêmea; pescoço posterior, dorso superior e asas negros; dorso inferior e </v>
      </c>
      <c r="J42" s="16" t="str">
        <f>IFERROR(__xludf.DUMMYFUNCTION("""COMPUTED_VALUE"""),"uropígio")</f>
        <v>uropígio</v>
      </c>
      <c r="K42" s="16" t="str">
        <f>IFERROR(__xludf.DUMMYFUNCTION("""COMPUTED_VALUE""")," brancos; peito superior pardacento; peito inferior e ventre vermelhos; 
flancos barrados de preto e branco. É barulhento. Entre os vários sons que 
produz, tem um grito forte, ríspido e rápido, ")</f>
        <v> brancos; peito superior pardacento; peito inferior e ventre vermelhos; 
flancos barrados de preto e branco. É barulhento. Entre os vários sons que 
produz, tem um grito forte, ríspido e rápido, </v>
      </c>
      <c r="L42" s="16" t="str">
        <f>IFERROR(__xludf.DUMMYFUNCTION("""COMPUTED_VALUE"""),"beneditô")</f>
        <v>beneditô</v>
      </c>
      <c r="M42" s="16" t="str">
        <f>IFERROR(__xludf.DUMMYFUNCTION("""COMPUTED_VALUE"""),", que originou o nome popular. ")</f>
        <v>, que originou o nome popular. </v>
      </c>
    </row>
    <row r="43" ht="15.75" customHeight="1">
      <c r="A43" s="6" t="s">
        <v>199</v>
      </c>
      <c r="B43" s="8" t="s">
        <v>200</v>
      </c>
      <c r="C43" s="14" t="s">
        <v>201</v>
      </c>
      <c r="D43" s="10" t="s">
        <v>202</v>
      </c>
      <c r="E43" s="9" t="s">
        <v>13</v>
      </c>
      <c r="F43" s="17" t="s">
        <v>203</v>
      </c>
      <c r="G43" s="11" t="s">
        <v>15</v>
      </c>
      <c r="H43" s="11" t="s">
        <v>15</v>
      </c>
      <c r="I43" s="16" t="str">
        <f>IFERROR(__xludf.DUMMYFUNCTION("IFERROR(INDEX(IMPORTXML(B43,""//h2[@id='caracteristicas']/following-sibling::div/p""),1),""Not Found"")")," Mede entre 15 e 19,5 centímetros de comprimento e pesa entre 8 e 29 gramas.")</f>
        <v> Mede entre 15 e 19,5 centímetros de comprimento e pesa entre 8 e 29 gramas.</v>
      </c>
      <c r="J43" s="16"/>
      <c r="K43" s="16" t="str">
        <f>IFERROR(__xludf.DUMMYFUNCTION("""COMPUTED_VALUE""")," Bico pequeno e reto, pouco notável e diferente dos demais ")</f>
        <v> Bico pequeno e reto, pouco notável e diferente dos demais </v>
      </c>
      <c r="L43" s="16" t="str">
        <f>IFERROR(__xludf.DUMMYFUNCTION("""COMPUTED_VALUE"""),"arapaçus")</f>
        <v>arapaçus</v>
      </c>
      <c r="M43" s="16" t="str">
        <f>IFERROR(__xludf.DUMMYFUNCTION("""COMPUTED_VALUE"""),". A parte final das costas, asas e a cauda são marrom-avermelhados. As ssp. 
amazônicas possuem a cabeça, parte superior das costas, barriga e peito 
cinzas ou cinza-oliváceos. As ssp. que ocorrem no Brasil fora da Amazônia 
possuem a coloração marrom oli"&amp;"vácea brilhante onde nas demais ssp é cinza. 
Quando voa de um tronco a outro, sob boas condições de luz, aparece a faixa 
amarelada nas penas de voo cruzando o meio das penas longas das asas. ")</f>
        <v>. A parte final das costas, asas e a cauda são marrom-avermelhados. As ssp. 
amazônicas possuem a cabeça, parte superior das costas, barriga e peito 
cinzas ou cinza-oliváceos. As ssp. que ocorrem no Brasil fora da Amazônia 
possuem a coloração marrom olivácea brilhante onde nas demais ssp é cinza. 
Quando voa de um tronco a outro, sob boas condições de luz, aparece a faixa 
amarelada nas penas de voo cruzando o meio das penas longas das asas. </v>
      </c>
    </row>
    <row r="44" ht="15.75" customHeight="1">
      <c r="A44" s="6" t="s">
        <v>204</v>
      </c>
      <c r="B44" s="8" t="s">
        <v>205</v>
      </c>
      <c r="C44" s="14" t="s">
        <v>206</v>
      </c>
      <c r="D44" s="10" t="s">
        <v>207</v>
      </c>
      <c r="E44" s="9" t="s">
        <v>13</v>
      </c>
      <c r="F44" s="17" t="s">
        <v>208</v>
      </c>
      <c r="G44" s="11" t="s">
        <v>15</v>
      </c>
      <c r="H44" s="11" t="s">
        <v>16</v>
      </c>
      <c r="I44" s="16" t="str">
        <f>IFERROR(__xludf.DUMMYFUNCTION("IFERROR(INDEX(IMPORTXML(B44,""//h2[@id='caracteristicas']/following-sibling::div/p""),1),""Not Found"")")," Mede 42 centímetros e pesa de 305 a 341 gramas. Maior espécie da família 
no Brasil. Corpo atarracado, cabeça grande com crista irregular conspícua 
que cobre todo o píleo da base do bico até a nuca. Bico grande (8 
centímetros), às vezes com matizes enc"&amp;"arnadas; cabeça e partes superiores 
azuladas; mancha loral branca; garganta e pescoço brancos, formando um 
colar quase completo. Bico com cúlmen, a maior parte da maxila e a ponta da 
mandíbula inferior enegrecidos; base da maxila e metade proximal da 
"&amp;"mandíbula inferior com quantidades variáveis de amarelo fosco (às vezes 
pouco); íris castanho escuro; pés sindáctilus de cor verde oliva, sola dos 
dedos amarelada; garras pretas. Os pés sindáctilus dificultam o movimento 
no solo, mas são eficientes na "&amp;"escavação da toca. Macho com o peito e o 
ventre uniformemente ferrugíneos até a região do crisso, que é branco. 
Coberteiras inferiores das asas brancas. Fêmea com o peito cinza azulado, 
uma faixa branca abaixo do peito e o ventre ferrugíneo, incluindo "&amp;"o crisso. 
A fêmea tem as coberteiras inferiores das asas ferrugíneas. Macho imaturo 
semelhante à fêmea, por também apresentar uma faixa branca cortando o 
peito, mas a diferença é a extensão da área ferrugínea do ventre (até a 
região do crisso nos mach"&amp;"os, até chegar às retrizes nas fêmeas). ")</f>
        <v> Mede 42 centímetros e pesa de 305 a 341 gramas. Maior espécie da família 
no Brasil. Corpo atarracado, cabeça grande com crista irregular conspícua 
que cobre todo o píleo da base do bico até a nuca. Bico grande (8 
centímetros), às vezes com matizes encarnadas; cabeça e partes superiores 
azuladas; mancha loral branca; garganta e pescoço brancos, formando um 
colar quase completo. Bico com cúlmen, a maior parte da maxila e a ponta da 
mandíbula inferior enegrecidos; base da maxila e metade proximal da 
mandíbula inferior com quantidades variáveis de amarelo fosco (às vezes 
pouco); íris castanho escuro; pés sindáctilus de cor verde oliva, sola dos 
dedos amarelada; garras pretas. Os pés sindáctilus dificultam o movimento 
no solo, mas são eficientes na escavação da toca. Macho com o peito e o 
ventre uniformemente ferrugíneos até a região do crisso, que é branco. 
Coberteiras inferiores das asas brancas. Fêmea com o peito cinza azulado, 
uma faixa branca abaixo do peito e o ventre ferrugíneo, incluindo o crisso. 
A fêmea tem as coberteiras inferiores das asas ferrugíneas. Macho imaturo 
semelhante à fêmea, por também apresentar uma faixa branca cortando o 
peito, mas a diferença é a extensão da área ferrugínea do ventre (até a 
região do crisso nos machos, até chegar às retrizes nas fêmeas). </v>
      </c>
      <c r="J44" s="16"/>
      <c r="K44" s="16"/>
    </row>
    <row r="45" ht="15.75" customHeight="1">
      <c r="A45" s="6" t="s">
        <v>209</v>
      </c>
      <c r="B45" s="8" t="s">
        <v>210</v>
      </c>
      <c r="C45" s="8" t="s">
        <v>211</v>
      </c>
      <c r="D45" s="17" t="s">
        <v>212</v>
      </c>
      <c r="E45" s="9" t="s">
        <v>47</v>
      </c>
      <c r="F45" s="17" t="s">
        <v>143</v>
      </c>
      <c r="G45" s="11" t="s">
        <v>16</v>
      </c>
      <c r="H45" s="11" t="s">
        <v>15</v>
      </c>
      <c r="I45" s="16" t="str">
        <f>IFERROR(__xludf.DUMMYFUNCTION("IFERROR(INDEX(IMPORTXML(B45,""//h2[@id='caracteristicas']/following-sibling::div/p""),1),""Not Found"")")," Atinge até 52 centímetros e entre 1,5 a 2,5 quilos de peso médio. As 
fêmeas geralmente são maiores e mais pesadas que os machos. Há relatos de 
fêmeas pesando 2,5 quilos, ainda abaixo das fêmeas de Tinamus tao, a 
azulona da Amazônia, que atinge os 3,0 "&amp;"quilos, ")</f>
        <v> Atinge até 52 centímetros e entre 1,5 a 2,5 quilos de peso médio. As 
fêmeas geralmente são maiores e mais pesadas que os machos. Há relatos de 
fêmeas pesando 2,5 quilos, ainda abaixo das fêmeas de Tinamus tao, a 
azulona da Amazônia, que atinge os 3,0 quilos, </v>
      </c>
      <c r="J45" s="16"/>
      <c r="K45" s="16"/>
      <c r="L45" s="16"/>
      <c r="M45" s="16"/>
      <c r="N45" s="16"/>
      <c r="O45" s="16"/>
      <c r="P45" s="16"/>
      <c r="Q45" s="16"/>
      <c r="R45" s="16"/>
      <c r="S45" s="16"/>
      <c r="T45" s="16"/>
      <c r="U45" s="16"/>
    </row>
    <row r="46" ht="15.75" customHeight="1">
      <c r="A46" s="6" t="s">
        <v>213</v>
      </c>
      <c r="B46" s="8" t="s">
        <v>214</v>
      </c>
      <c r="C46" s="8" t="s">
        <v>215</v>
      </c>
      <c r="D46" s="17" t="s">
        <v>216</v>
      </c>
      <c r="E46" s="9" t="s">
        <v>217</v>
      </c>
      <c r="F46" s="17" t="s">
        <v>111</v>
      </c>
      <c r="G46" s="11" t="s">
        <v>16</v>
      </c>
      <c r="H46" s="11" t="s">
        <v>16</v>
      </c>
      <c r="I46" s="16" t="str">
        <f>IFERROR(__xludf.DUMMYFUNCTION("IFERROR(INDEX(IMPORTXML(B46,""//h2[@id='caracteristicas']/following-sibling::div/p""),1),""Not Found"")")," É uma ave grande, medindo entre 64 e 74 centímetros de comprimento e 
pesando de 1,1 a 1,4 quilogramas. É fácil de identificar, pois em quase 
toda a sua área de ocorrência é o único Cracídeo com mancha branca na asa. 
No extremo oeste da área de ocorrên"&amp;"cia, no Paraguai, a espécie pode ocorrer 
ao lado da ")</f>
        <v> É uma ave grande, medindo entre 64 e 74 centímetros de comprimento e 
pesando de 1,1 a 1,4 quilogramas. É fácil de identificar, pois em quase 
toda a sua área de ocorrência é o único Cracídeo com mancha branca na asa. 
No extremo oeste da área de ocorrência, no Paraguai, a espécie pode ocorrer 
ao lado da </v>
      </c>
      <c r="J46" s="16" t="str">
        <f>IFERROR(__xludf.DUMMYFUNCTION("""COMPUTED_VALUE"""),"jacutinga-de-garganta-azul")</f>
        <v>jacutinga-de-garganta-azul</v>
      </c>
      <c r="K46" s="16" t="str">
        <f>IFERROR(__xludf.DUMMYFUNCTION("""COMPUTED_VALUE""")," (Aburria cumanensis), que também possui mancha branca na asa, mas, como o 
nome sugere, possui garganta azul ao invés de vermelha, e a cara também é 
toda branca. ")</f>
        <v> (Aburria cumanensis), que também possui mancha branca na asa, mas, como o 
nome sugere, possui garganta azul ao invés de vermelha, e a cara também é 
toda branca. </v>
      </c>
      <c r="L46" s="16"/>
      <c r="M46" s="16"/>
      <c r="N46" s="16"/>
      <c r="O46" s="16"/>
      <c r="P46" s="16"/>
      <c r="Q46" s="16"/>
      <c r="R46" s="16"/>
      <c r="S46" s="16"/>
      <c r="T46" s="16"/>
      <c r="U46" s="16"/>
      <c r="V46" s="16"/>
      <c r="W46" s="16"/>
      <c r="X46" s="16"/>
      <c r="Y46" s="16"/>
      <c r="Z46" s="16"/>
      <c r="AA46" s="16"/>
      <c r="AB46" s="16"/>
    </row>
    <row r="47" ht="15.75" customHeight="1">
      <c r="A47" s="6" t="s">
        <v>218</v>
      </c>
      <c r="B47" s="18" t="s">
        <v>219</v>
      </c>
      <c r="C47" s="19" t="s">
        <v>220</v>
      </c>
      <c r="D47" s="20" t="s">
        <v>221</v>
      </c>
      <c r="E47" s="9" t="s">
        <v>13</v>
      </c>
      <c r="F47" s="17" t="s">
        <v>222</v>
      </c>
      <c r="G47" s="11" t="s">
        <v>15</v>
      </c>
      <c r="H47" s="11" t="s">
        <v>15</v>
      </c>
      <c r="I47" s="16" t="str">
        <f>IFERROR(__xludf.DUMMYFUNCTION("IFERROR(INDEX(IMPORTXML(B47,""//h2[@id='caracteristicas']/following-sibling::div/p""),1),""Not Found"")")," Mede entre 66 e 76 centímetros de comprimento e pesa cerca de 840 gramas 
(Martínez-Vilalta, et al, 2016 em HBW).")</f>
        <v> Mede entre 66 e 76 centímetros de comprimento e pesa cerca de 840 gramas 
(Martínez-Vilalta, et al, 2016 em HBW).</v>
      </c>
      <c r="J47" s="16"/>
      <c r="K47" s="16" t="str">
        <f>IFERROR(__xludf.DUMMYFUNCTION("""COMPUTED_VALUE""")," A plumagem adulta é idêntica para ambos os sexos e é adquirida aos dois 
anos de idade, caracterizando-se pelo pescoço castanho com uma faixa branca 
vertical na frente e manto pardo-acinzentado, manchado de acanelado; possui 
um bico bastante longo. A p"&amp;"lumagem do socó-boi jovem é amarelo-clara com 
faixas transversais negras, garganta e ventre brancos e o bico é 
relativamente curto. ")</f>
        <v> A plumagem adulta é idêntica para ambos os sexos e é adquirida aos dois 
anos de idade, caracterizando-se pelo pescoço castanho com uma faixa branca 
vertical na frente e manto pardo-acinzentado, manchado de acanelado; possui 
um bico bastante longo. A plumagem do socó-boi jovem é amarelo-clara com 
faixas transversais negras, garganta e ventre brancos e o bico é 
relativamente curto. </v>
      </c>
      <c r="L47" s="16"/>
      <c r="M47" s="16"/>
      <c r="N47" s="16"/>
    </row>
    <row r="48" ht="15.75" customHeight="1">
      <c r="A48" s="6" t="s">
        <v>223</v>
      </c>
      <c r="B48" s="18" t="s">
        <v>224</v>
      </c>
      <c r="C48" s="18" t="s">
        <v>225</v>
      </c>
      <c r="D48" s="24" t="s">
        <v>226</v>
      </c>
      <c r="E48" s="10" t="s">
        <v>13</v>
      </c>
      <c r="F48" s="17" t="s">
        <v>143</v>
      </c>
      <c r="G48" s="11" t="s">
        <v>15</v>
      </c>
      <c r="H48" s="11" t="s">
        <v>16</v>
      </c>
      <c r="I48" s="16" t="str">
        <f>IFERROR(__xludf.DUMMYFUNCTION("IFERROR(INDEX(IMPORTXML(B48,""//h2[@id='caracteristicas']/following-sibling::div/p""),1),""Not Found"")")," Mede 12-18 centímetros de comprimento e pesa cerca de 35-56 gramas.")</f>
        <v> Mede 12-18 centímetros de comprimento e pesa cerca de 35-56 gramas.</v>
      </c>
      <c r="J48" s="16"/>
      <c r="K48" s="16" t="str">
        <f>IFERROR(__xludf.DUMMYFUNCTION("""COMPUTED_VALUE""")," O ")</f>
        <v> O </v>
      </c>
      <c r="L48" s="16" t="str">
        <f>IFERROR(__xludf.DUMMYFUNCTION("""COMPUTED_VALUE"""),"macho")</f>
        <v>macho</v>
      </c>
      <c r="M48" s="16" t="str">
        <f>IFERROR(__xludf.DUMMYFUNCTION("""COMPUTED_VALUE"""),", com penas marrom avermelhadas, cor dominante no ")</f>
        <v>, com penas marrom avermelhadas, cor dominante no </v>
      </c>
      <c r="N48" s="16" t="str">
        <f>IFERROR(__xludf.DUMMYFUNCTION("""COMPUTED_VALUE"""),"corpo")</f>
        <v>corpo</v>
      </c>
      <c r="O48" s="16" t="str">
        <f>IFERROR(__xludf.DUMMYFUNCTION("""COMPUTED_VALUE""")," do adulto, em contraste com a cabeça, cinza azulada. A ")</f>
        <v> do adulto, em contraste com a cabeça, cinza azulada. A </v>
      </c>
      <c r="P48" s="16" t="str">
        <f>IFERROR(__xludf.DUMMYFUNCTION("""COMPUTED_VALUE"""),"fêmea")</f>
        <v>fêmea</v>
      </c>
      <c r="Q48" s="16" t="str">
        <f>IFERROR(__xludf.DUMMYFUNCTION("""COMPUTED_VALUE""")," é toda parda. Nos dois sexos, sobre a asa há uma série de pontos negros 
nas penas. Os ")</f>
        <v> é toda parda. Nos dois sexos, sobre a asa há uma série de pontos negros 
nas penas. Os </v>
      </c>
      <c r="R48" s="16" t="str">
        <f>IFERROR(__xludf.DUMMYFUNCTION("""COMPUTED_VALUE"""),"filhotes")</f>
        <v>filhotes</v>
      </c>
      <c r="S48" s="16" t="str">
        <f>IFERROR(__xludf.DUMMYFUNCTION("""COMPUTED_VALUE""")," saem com traços da ")</f>
        <v> saem com traços da </v>
      </c>
      <c r="T48" s="16" t="str">
        <f>IFERROR(__xludf.DUMMYFUNCTION("""COMPUTED_VALUE"""),"plumagem")</f>
        <v>plumagem</v>
      </c>
      <c r="U48" s="16" t="str">
        <f>IFERROR(__xludf.DUMMYFUNCTION("""COMPUTED_VALUE""")," de cada sexo. ")</f>
        <v> de cada sexo. </v>
      </c>
      <c r="V48" s="16"/>
      <c r="W48" s="16"/>
      <c r="X48" s="16"/>
      <c r="Y48" s="16"/>
      <c r="Z48" s="16"/>
      <c r="AA48" s="16"/>
    </row>
    <row r="49" ht="15.75" customHeight="1">
      <c r="A49" s="23" t="s">
        <v>227</v>
      </c>
      <c r="B49" s="8" t="s">
        <v>228</v>
      </c>
      <c r="C49" s="8" t="s">
        <v>229</v>
      </c>
      <c r="D49" s="17" t="s">
        <v>230</v>
      </c>
      <c r="E49" s="10" t="s">
        <v>13</v>
      </c>
      <c r="F49" s="17" t="s">
        <v>143</v>
      </c>
      <c r="G49" s="11" t="s">
        <v>15</v>
      </c>
      <c r="H49" s="11" t="s">
        <v>15</v>
      </c>
      <c r="I49" s="16" t="str">
        <f>IFERROR(__xludf.DUMMYFUNCTION("IFERROR(INDEX(IMPORTXML(B49,""//h2[@id='caracteristicas']/following-sibling::div/p""),1),""Not Found"")")," Tem 29 centímetros de comprimento e pesa entre 160 e 215 gramas. Sua 
plumagem é marrom, com ")</f>
        <v> Tem 29 centímetros de comprimento e pesa entre 160 e 215 gramas. Sua 
plumagem é marrom, com </v>
      </c>
      <c r="J49" s="16" t="str">
        <f>IFERROR(__xludf.DUMMYFUNCTION("""COMPUTED_VALUE"""),"peito")</f>
        <v>peito</v>
      </c>
      <c r="K49" s="16" t="str">
        <f>IFERROR(__xludf.DUMMYFUNCTION("""COMPUTED_VALUE""")," claro, cabeça cinzenta com alguns reflexos metálicos na nuca e alto dorso. 
Quando em voo é possivel notar uma coloraçâo vermelho-ferrugem embaixo das 
asas. Possui, ainda, uma coloração azulada ao redor dos olhos. ")</f>
        <v> claro, cabeça cinzenta com alguns reflexos metálicos na nuca e alto dorso. 
Quando em voo é possivel notar uma coloraçâo vermelho-ferrugem embaixo das 
asas. Possui, ainda, uma coloração azulada ao redor dos olhos. </v>
      </c>
      <c r="L49" s="16"/>
      <c r="M49" s="16"/>
      <c r="N49" s="16"/>
      <c r="O49" s="16"/>
      <c r="P49" s="16"/>
      <c r="Q49" s="16"/>
      <c r="R49" s="16"/>
      <c r="S49" s="16"/>
    </row>
    <row r="50" ht="15.75" customHeight="1">
      <c r="A50" s="23" t="s">
        <v>231</v>
      </c>
      <c r="B50" s="8" t="s">
        <v>232</v>
      </c>
      <c r="C50" s="8" t="s">
        <v>233</v>
      </c>
      <c r="D50" s="17" t="s">
        <v>234</v>
      </c>
      <c r="E50" s="10" t="s">
        <v>13</v>
      </c>
      <c r="F50" s="17" t="s">
        <v>235</v>
      </c>
      <c r="G50" s="11" t="s">
        <v>15</v>
      </c>
      <c r="H50" s="11" t="s">
        <v>16</v>
      </c>
      <c r="I50" s="16" t="str">
        <f>IFERROR(__xludf.DUMMYFUNCTION("IFERROR(INDEX(IMPORTXML(B50,""//h2[@id='caracteristicas']/following-sibling::div/p""),1),""Not Found"")")," Mede cerca de 30 cm de comprimento. O macho possui as penas do ")</f>
        <v> Mede cerca de 30 cm de comprimento. O macho possui as penas do </v>
      </c>
      <c r="J50" s="16" t="str">
        <f>IFERROR(__xludf.DUMMYFUNCTION("""COMPUTED_VALUE"""),"pescoço")</f>
        <v>pescoço</v>
      </c>
      <c r="K50" s="16" t="str">
        <f>IFERROR(__xludf.DUMMYFUNCTION("""COMPUTED_VALUE""")," de coloração metálica, dando-lhe uma aparência ")</f>
        <v> de coloração metálica, dando-lhe uma aparência </v>
      </c>
      <c r="L50" s="16" t="str">
        <f>IFERROR(__xludf.DUMMYFUNCTION("""COMPUTED_VALUE"""),"escamosa")</f>
        <v>escamosa</v>
      </c>
      <c r="M50" s="16" t="str">
        <f>IFERROR(__xludf.DUMMYFUNCTION("""COMPUTED_VALUE""")," e a fêmea apresenta o pescoço marginado de preto, com pouco reflexo 
metálico. ")</f>
        <v> e a fêmea apresenta o pescoço marginado de preto, com pouco reflexo 
metálico. </v>
      </c>
    </row>
    <row r="51" ht="15.75" customHeight="1">
      <c r="A51" s="6" t="s">
        <v>236</v>
      </c>
      <c r="B51" s="18" t="s">
        <v>237</v>
      </c>
      <c r="C51" s="19" t="s">
        <v>238</v>
      </c>
      <c r="D51" s="20" t="s">
        <v>239</v>
      </c>
      <c r="E51" s="10" t="s">
        <v>13</v>
      </c>
      <c r="F51" s="17" t="s">
        <v>235</v>
      </c>
      <c r="G51" s="11" t="s">
        <v>15</v>
      </c>
      <c r="H51" s="11" t="s">
        <v>15</v>
      </c>
      <c r="I51" s="16" t="str">
        <f>IFERROR(__xludf.DUMMYFUNCTION("IFERROR(INDEX(IMPORTXML(B51,""//h2[@id='caracteristicas']/following-sibling::div/p""),1),""Not Found"")")," Mede cerca de 34 centímetros de comprimento e pesa 230 gramas.")</f>
        <v> Mede cerca de 34 centímetros de comprimento e pesa 230 gramas.</v>
      </c>
      <c r="J51" s="16"/>
      <c r="K51" s="16" t="str">
        <f>IFERROR(__xludf.DUMMYFUNCTION("""COMPUTED_VALUE""")," Seu tamanho é avantajado e a ")</f>
        <v> Seu tamanho é avantajado e a </v>
      </c>
      <c r="L51" s="16" t="str">
        <f>IFERROR(__xludf.DUMMYFUNCTION("""COMPUTED_VALUE"""),"cauda")</f>
        <v>cauda</v>
      </c>
      <c r="M51" s="16" t="str">
        <f>IFERROR(__xludf.DUMMYFUNCTION("""COMPUTED_VALUE""")," é longa e larga. Seu colorido é cinza-plúmbeo, quase uniforme, com 
pequenas manchas claras e apagadas na base do pescoço posterior. Possui um ")</f>
        <v> é longa e larga. Seu colorido é cinza-plúmbeo, quase uniforme, com 
pequenas manchas claras e apagadas na base do pescoço posterior. Possui um </v>
      </c>
      <c r="N51" s="16" t="str">
        <f>IFERROR(__xludf.DUMMYFUNCTION("""COMPUTED_VALUE"""),"canto forte")</f>
        <v>canto forte</v>
      </c>
      <c r="O51" s="16" t="str">
        <f>IFERROR(__xludf.DUMMYFUNCTION("""COMPUTED_VALUE""")," formado por cinco sílabas bem distintas: “ku ku-ku ku ku”. Na Amazônia, 
pode ser confundida com a pomba-botafogo, com quem divide o mesmo espaço, 
diferindo-se desta pelo tamanho e pela tonalidade (a botafogo é um pouco 
menor e é mais violacea) e pela "&amp;"coloração da íris, vermelha na botafogo e 
branca na amargosa. Os cantos também são diferentes, o que facilita a 
identificação, já que é mais fácil ouvi-la do que vê-la, nas copas das 
árvores. ")</f>
        <v> formado por cinco sílabas bem distintas: “ku ku-ku ku ku”. Na Amazônia, 
pode ser confundida com a pomba-botafogo, com quem divide o mesmo espaço, 
diferindo-se desta pelo tamanho e pela tonalidade (a botafogo é um pouco 
menor e é mais violacea) e pela coloração da íris, vermelha na botafogo e 
branca na amargosa. Os cantos também são diferentes, o que facilita a 
identificação, já que é mais fácil ouvi-la do que vê-la, nas copas das 
árvores. </v>
      </c>
    </row>
    <row r="52" ht="15.75" customHeight="1">
      <c r="A52" s="6" t="s">
        <v>240</v>
      </c>
      <c r="B52" s="8" t="s">
        <v>241</v>
      </c>
      <c r="C52" s="8" t="s">
        <v>242</v>
      </c>
      <c r="D52" s="17" t="s">
        <v>243</v>
      </c>
      <c r="E52" s="10" t="s">
        <v>244</v>
      </c>
      <c r="F52" s="17" t="s">
        <v>245</v>
      </c>
      <c r="G52" s="11" t="s">
        <v>16</v>
      </c>
      <c r="H52" s="11" t="s">
        <v>16</v>
      </c>
      <c r="I52" s="16" t="str">
        <f>IFERROR(__xludf.DUMMYFUNCTION("IFERROR(INDEX(IMPORTXML(B52,""//h2[@id='caracteristicas']/following-sibling::div/p""),1),""Not Found"")")," Possui a cabeça achatada, ")</f>
        <v> Possui a cabeça achatada, </v>
      </c>
      <c r="J52" s="16" t="str">
        <f>IFERROR(__xludf.DUMMYFUNCTION("""COMPUTED_VALUE"""),"boca")</f>
        <v>boca</v>
      </c>
      <c r="K52" s="16" t="str">
        <f>IFERROR(__xludf.DUMMYFUNCTION("""COMPUTED_VALUE""")," alargada e ampla, e o bico é curto. Os machos adultos são inteiramente 
brancos, exceto os lados da cabeça e garganta, que são nus, de cor 
verde-jade onde se implantam raras cerdas pretas; bico preto e pés pardos, 
tamanho médio de 27 centímetros. A fêm"&amp;"ea adulta tem a parte superior 
verde-oliva, com a cabeça cinza e a parte inferior amarela com estrias 
amarelo-esverdeadas e cinzentas; a garganta é cinzenta onde entremeiam-se 
estrias negras; possui tamanho menor do que o macho. ")</f>
        <v> alargada e ampla, e o bico é curto. Os machos adultos são inteiramente 
brancos, exceto os lados da cabeça e garganta, que são nus, de cor 
verde-jade onde se implantam raras cerdas pretas; bico preto e pés pardos, 
tamanho médio de 27 centímetros. A fêmea adulta tem a parte superior 
verde-oliva, com a cabeça cinza e a parte inferior amarela com estrias 
amarelo-esverdeadas e cinzentas; a garganta é cinzenta onde entremeiam-se 
estrias negras; possui tamanho menor do que o macho. </v>
      </c>
      <c r="L52" s="16" t="str">
        <f>IFERROR(__xludf.DUMMYFUNCTION("""COMPUTED_VALUE"""),"Crisso")</f>
        <v>Crisso</v>
      </c>
      <c r="M52" s="16" t="str">
        <f>IFERROR(__xludf.DUMMYFUNCTION("""COMPUTED_VALUE""")," amarelo. O imaturo é semelhante à fêmea, com cabeça e garganta negras; 
substitui as penas verdes sucessivamente por cinzento-esverdeadas e 
brancas, as últimas em partes vermiculadas de cinzento; o macho torna-se 
totalmente branco com 3 anos de idade ("&amp;"Sick 1997). ")</f>
        <v> amarelo. O imaturo é semelhante à fêmea, com cabeça e garganta negras; 
substitui as penas verdes sucessivamente por cinzento-esverdeadas e 
brancas, as últimas em partes vermiculadas de cinzento; o macho torna-se 
totalmente branco com 3 anos de idade (Sick 1997). </v>
      </c>
      <c r="N52" s="16"/>
      <c r="O52" s="16"/>
      <c r="P52" s="16"/>
      <c r="Q52" s="16"/>
      <c r="R52" s="16"/>
      <c r="S52" s="16"/>
      <c r="T52" s="16"/>
      <c r="U52" s="16"/>
      <c r="V52" s="16"/>
      <c r="W52" s="16"/>
      <c r="X52" s="16"/>
      <c r="Y52" s="16"/>
      <c r="Z52" s="16"/>
      <c r="AA52" s="16"/>
      <c r="AB52" s="16"/>
      <c r="AC52" s="16"/>
      <c r="AD52" s="16"/>
      <c r="AE52" s="16"/>
    </row>
    <row r="53" ht="15.75" customHeight="1">
      <c r="A53" s="6" t="s">
        <v>246</v>
      </c>
      <c r="B53" s="8" t="s">
        <v>247</v>
      </c>
      <c r="C53" s="8" t="s">
        <v>248</v>
      </c>
      <c r="D53" s="17" t="s">
        <v>249</v>
      </c>
      <c r="E53" s="10" t="s">
        <v>13</v>
      </c>
      <c r="F53" s="17" t="s">
        <v>250</v>
      </c>
      <c r="G53" s="11" t="s">
        <v>15</v>
      </c>
      <c r="H53" s="11" t="s">
        <v>15</v>
      </c>
      <c r="I53" s="16" t="str">
        <f>IFERROR(__xludf.DUMMYFUNCTION("IFERROR(INDEX(IMPORTXML(B53,""//h2[@id='caracteristicas']/following-sibling::div/p""),1),""Not Found"")")," Mede 14 cm de comprimento. É detectada pelo ")</f>
        <v> Mede 14 cm de comprimento. É detectada pelo </v>
      </c>
      <c r="J53" s="16" t="str">
        <f>IFERROR(__xludf.DUMMYFUNCTION("""COMPUTED_VALUE"""),"canto")</f>
        <v>canto</v>
      </c>
      <c r="K53" s="16" t="str">
        <f>IFERROR(__xludf.DUMMYFUNCTION("""COMPUTED_VALUE"""),", simples e repetitivo mas melodioso. Quase nunca deixa a folhagem das 
árvores, e não é muito frequente vê-la, já que, por ser pequena, de 
colorido apagado e de comportamento discreto, não costuma chamar a atenção. 
Na Amazônia pode ser confundida com s"&amp;"eus primos migratórios (Vireo 
altiloquus, Vireo flavoviridis e Vireo olivaceus), que migram para a região 
entre outubro e março, fugindo do inverno do hemisfério norte, diferindo-se 
destes principalmente por não ter o olho tão vermelho. Os cantos são 
"&amp;"parecidos e às vezes as espécies podem ser encontradas juntas.")</f>
        <v>, simples e repetitivo mas melodioso. Quase nunca deixa a folhagem das 
árvores, e não é muito frequente vê-la, já que, por ser pequena, de 
colorido apagado e de comportamento discreto, não costuma chamar a atenção. 
Na Amazônia pode ser confundida com seus primos migratórios (Vireo 
altiloquus, Vireo flavoviridis e Vireo olivaceus), que migram para a região 
entre outubro e março, fugindo do inverno do hemisfério norte, diferindo-se 
destes principalmente por não ter o olho tão vermelho. Os cantos são 
parecidos e às vezes as espécies podem ser encontradas juntas.</v>
      </c>
      <c r="L53" s="16"/>
      <c r="M53" s="16"/>
      <c r="N53" s="16"/>
      <c r="O53" s="16"/>
      <c r="P53" s="16"/>
      <c r="Q53" s="16"/>
      <c r="R53" s="16"/>
      <c r="S53" s="16"/>
    </row>
    <row r="54" ht="15.75" customHeight="1">
      <c r="A54" s="6" t="s">
        <v>251</v>
      </c>
      <c r="B54" s="8" t="s">
        <v>252</v>
      </c>
      <c r="C54" s="8" t="s">
        <v>253</v>
      </c>
      <c r="D54" s="17" t="s">
        <v>254</v>
      </c>
      <c r="E54" s="10" t="s">
        <v>13</v>
      </c>
      <c r="F54" s="17" t="s">
        <v>203</v>
      </c>
      <c r="G54" s="11" t="s">
        <v>15</v>
      </c>
      <c r="H54" s="11" t="s">
        <v>15</v>
      </c>
      <c r="I54" s="16" t="str">
        <f>IFERROR(__xludf.DUMMYFUNCTION("IFERROR(INDEX(IMPORTXML(B54,""//h2[@id='caracteristicas']/following-sibling::div/p""),1),""Not Found"")")," Mede cerca de 16,5 centímetros, tem cabeça e bico desproporcionais ao 
corpo. O bico é todo acinzentado com leve tom róseo, de aspecto poderoso e 
terminando com uma ponta fina, virada para baixo, parecendo um bico de ave 
de rapina em um pássaro. As cor"&amp;"es são únicas, com a cabeça e nuca 
acinzentadas, uma nítida e característica faixa marrom-avermelhada sobre os 
olhos (laranja-escuro nos adultos, marrom uniforme nos juvenis). Alto da 
cabeça oliváceo ou cinza-escuro. No peito, uma larga faixa amarelada"&amp;" separa 
a barriga e a garganta cinza-claro, quase branca. Dorso pardo-esverdeado. 
Macho e fêmea são idênticos. ")</f>
        <v> Mede cerca de 16,5 centímetros, tem cabeça e bico desproporcionais ao 
corpo. O bico é todo acinzentado com leve tom róseo, de aspecto poderoso e 
terminando com uma ponta fina, virada para baixo, parecendo um bico de ave 
de rapina em um pássaro. As cores são únicas, com a cabeça e nuca 
acinzentadas, uma nítida e característica faixa marrom-avermelhada sobre os 
olhos (laranja-escuro nos adultos, marrom uniforme nos juvenis). Alto da 
cabeça oliváceo ou cinza-escuro. No peito, uma larga faixa amarelada separa 
a barriga e a garganta cinza-claro, quase branca. Dorso pardo-esverdeado. 
Macho e fêmea são idênticos. </v>
      </c>
      <c r="J54" s="16"/>
      <c r="K54" s="16"/>
      <c r="L54" s="16"/>
      <c r="M54" s="16"/>
    </row>
    <row r="55" ht="15.75" customHeight="1">
      <c r="A55" s="6" t="s">
        <v>255</v>
      </c>
      <c r="B55" s="18" t="s">
        <v>256</v>
      </c>
      <c r="C55" s="18" t="s">
        <v>257</v>
      </c>
      <c r="D55" s="24" t="s">
        <v>258</v>
      </c>
      <c r="E55" s="10" t="s">
        <v>13</v>
      </c>
      <c r="F55" s="17" t="s">
        <v>203</v>
      </c>
      <c r="G55" s="11" t="s">
        <v>15</v>
      </c>
      <c r="H55" s="11" t="s">
        <v>15</v>
      </c>
      <c r="I55" s="16" t="str">
        <f>IFERROR(__xludf.DUMMYFUNCTION("IFERROR(INDEX(IMPORTXML(B55,""//h2[@id='caracteristicas']/following-sibling::div/p""),1),""Not Found"")")," Mede de 10-13 centímetros de comprimento e pesa em torno de 10-12 g. É 
grande ")</f>
        <v> Mede de 10-13 centímetros de comprimento e pesa em torno de 10-12 g. É 
grande </v>
      </c>
      <c r="J55" s="16" t="str">
        <f>IFERROR(__xludf.DUMMYFUNCTION("""COMPUTED_VALUE"""),"cantadora")</f>
        <v>cantadora</v>
      </c>
      <c r="K55" s="16" t="str">
        <f>IFERROR(__xludf.DUMMYFUNCTION("""COMPUTED_VALUE""")," e seu ")</f>
        <v> e seu </v>
      </c>
      <c r="L55" s="16" t="str">
        <f>IFERROR(__xludf.DUMMYFUNCTION("""COMPUTED_VALUE"""),"canto")</f>
        <v>canto</v>
      </c>
      <c r="M55" s="16" t="str">
        <f>IFERROR(__xludf.DUMMYFUNCTION("""COMPUTED_VALUE"""),"trinado")</f>
        <v>trinado</v>
      </c>
      <c r="N55" s="16" t="str">
        <f>IFERROR(__xludf.DUMMYFUNCTION("""COMPUTED_VALUE"""),", alegre e ")</f>
        <v>, alegre e </v>
      </c>
      <c r="O55" s="16" t="str">
        <f>IFERROR(__xludf.DUMMYFUNCTION("""COMPUTED_VALUE"""),"melodioso")</f>
        <v>melodioso</v>
      </c>
      <c r="P55" s="16" t="str">
        <f>IFERROR(__xludf.DUMMYFUNCTION("""COMPUTED_VALUE"""),", é ouvido principalmente no começo da manhã. Enquanto ela se move sobre 
construções ou na vegetação, emite sem parar um crét crét, rouco e baixo. 
Bem pequena, pode ser escondida na palma da mão. É parente do famoso 
uirapuru, considerado por muitos com"&amp;"o a ave brasileira que tem o canto mais 
bonito. ")</f>
        <v>, é ouvido principalmente no começo da manhã. Enquanto ela se move sobre 
construções ou na vegetação, emite sem parar um crét crét, rouco e baixo. 
Bem pequena, pode ser escondida na palma da mão. É parente do famoso 
uirapuru, considerado por muitos como a ave brasileira que tem o canto mais 
bonito. </v>
      </c>
      <c r="Q55" s="16"/>
      <c r="R55" s="16"/>
      <c r="S55" s="16"/>
    </row>
    <row r="56" ht="15.75" customHeight="1">
      <c r="A56" s="6" t="s">
        <v>259</v>
      </c>
      <c r="B56" s="8" t="s">
        <v>260</v>
      </c>
      <c r="C56" s="8" t="s">
        <v>261</v>
      </c>
      <c r="D56" s="17" t="s">
        <v>262</v>
      </c>
      <c r="E56" s="10" t="s">
        <v>13</v>
      </c>
      <c r="F56" s="17" t="s">
        <v>263</v>
      </c>
      <c r="G56" s="11" t="s">
        <v>15</v>
      </c>
      <c r="H56" s="11" t="s">
        <v>15</v>
      </c>
      <c r="I56" s="16" t="str">
        <f>IFERROR(__xludf.DUMMYFUNCTION("IFERROR(INDEX(IMPORTXML(B56,""//h2[@id='caracteristicas']/following-sibling::div/p""),1),""Not Found"")")," Mede cerca de 12 centímetros e pesa cerca de 10,5 gramas. Possui o lado 
inferior amarelo e o superior verde-oliváceo, ")</f>
        <v> Mede cerca de 12 centímetros e pesa cerca de 10,5 gramas. Possui o lado 
inferior amarelo e o superior verde-oliváceo, </v>
      </c>
      <c r="J56" s="16" t="str">
        <f>IFERROR(__xludf.DUMMYFUNCTION("""COMPUTED_VALUE"""),"sobrancelha")</f>
        <v>sobrancelha</v>
      </c>
      <c r="K56" s="16" t="str">
        <f>IFERROR(__xludf.DUMMYFUNCTION("""COMPUTED_VALUE""")," esbranquiçada, realçada por uma faixa anegrada por baixo e por cima, faixa 
medial no ")</f>
        <v> esbranquiçada, realçada por uma faixa anegrada por baixo e por cima, faixa 
medial no </v>
      </c>
      <c r="L56" s="16" t="str">
        <f>IFERROR(__xludf.DUMMYFUNCTION("""COMPUTED_VALUE"""),"píleo")</f>
        <v>píleo</v>
      </c>
      <c r="M56" s="16" t="str">
        <f>IFERROR(__xludf.DUMMYFUNCTION("""COMPUTED_VALUE""")," cinzento-avermelhada. ")</f>
        <v> cinzento-avermelhada. </v>
      </c>
      <c r="N56" s="16"/>
      <c r="O56" s="16"/>
      <c r="P56" s="16"/>
      <c r="Q56" s="16"/>
      <c r="R56" s="16"/>
      <c r="S56" s="16"/>
      <c r="T56" s="16"/>
      <c r="U56" s="16"/>
      <c r="V56" s="16"/>
      <c r="W56" s="16"/>
      <c r="X56" s="16"/>
      <c r="Y56" s="16"/>
      <c r="Z56" s="16"/>
      <c r="AA56" s="16"/>
      <c r="AB56" s="16"/>
      <c r="AC56" s="16"/>
      <c r="AD56" s="16"/>
      <c r="AE56" s="16"/>
    </row>
    <row r="57" ht="15.75" customHeight="1">
      <c r="A57" s="6" t="s">
        <v>264</v>
      </c>
      <c r="B57" s="8" t="s">
        <v>265</v>
      </c>
      <c r="C57" s="8" t="s">
        <v>266</v>
      </c>
      <c r="D57" s="17" t="s">
        <v>267</v>
      </c>
      <c r="E57" s="10" t="s">
        <v>13</v>
      </c>
      <c r="F57" s="17" t="s">
        <v>268</v>
      </c>
      <c r="G57" s="11" t="s">
        <v>15</v>
      </c>
      <c r="H57" s="11" t="s">
        <v>16</v>
      </c>
      <c r="I57" s="16" t="str">
        <f>IFERROR(__xludf.DUMMYFUNCTION("IFERROR(INDEX(IMPORTXML(B57,""//h2[@id='caracteristicas']/following-sibling::div/p""),1),""Not Found"")")," Medindo cerca de 50-60 centímetros da ")</f>
        <v> Medindo cerca de 50-60 centímetros da </v>
      </c>
      <c r="J57" s="16" t="str">
        <f>IFERROR(__xludf.DUMMYFUNCTION("""COMPUTED_VALUE"""),"cabeça a cauda")</f>
        <v>cabeça a cauda</v>
      </c>
      <c r="K57" s="16" t="str">
        <f>IFERROR(__xludf.DUMMYFUNCTION("""COMPUTED_VALUE"""),", o peso do macho é de 834 g; a fêmea pesa 953 g e mede cerca de 123 
centímetros de envergadura; o carcará é facilmente reconhecível quando 
pousado, pelo fato de possuir uma espécie de solidéu preto sobre a cabeça, 
assim como um bico adunco e alto, que"&amp;" assemelha-se à lâmina de um cutelo; a 
face é vermelha. É recoberto de preto na parte superior e possui o peito de 
uma combinação de marrom claro com riscas pretas, de tipo “carijó”; patas 
compridas e de cor amarela; em voo, assemelha-se a um urubu, ma"&amp;"s é 
reconhecível por duas manchas de cor clara na extremidade das asas. Deve 
seu nome à ")</f>
        <v>, o peso do macho é de 834 g; a fêmea pesa 953 g e mede cerca de 123 
centímetros de envergadura; o carcará é facilmente reconhecível quando 
pousado, pelo fato de possuir uma espécie de solidéu preto sobre a cabeça, 
assim como um bico adunco e alto, que assemelha-se à lâmina de um cutelo; a 
face é vermelha. É recoberto de preto na parte superior e possui o peito de 
uma combinação de marrom claro com riscas pretas, de tipo “carijó”; patas 
compridas e de cor amarela; em voo, assemelha-se a um urubu, mas é 
reconhecível por duas manchas de cor clara na extremidade das asas. Deve 
seu nome à </v>
      </c>
      <c r="L57" s="16" t="str">
        <f>IFERROR(__xludf.DUMMYFUNCTION("""COMPUTED_VALUE"""),"vocalização")</f>
        <v>vocalização</v>
      </c>
      <c r="M57" s="16" t="str">
        <f>IFERROR(__xludf.DUMMYFUNCTION("""COMPUTED_VALUE""")," que emite. ")</f>
        <v> que emite. </v>
      </c>
      <c r="N57" s="16"/>
      <c r="O57" s="16"/>
      <c r="P57" s="16"/>
      <c r="Q57" s="16"/>
      <c r="R57" s="16"/>
      <c r="S57" s="16"/>
      <c r="T57" s="16"/>
      <c r="U57" s="16"/>
      <c r="V57" s="16"/>
      <c r="W57" s="16"/>
      <c r="X57" s="16"/>
      <c r="Y57" s="16"/>
      <c r="Z57" s="16"/>
      <c r="AA57" s="16"/>
      <c r="AB57" s="16"/>
      <c r="AC57" s="16"/>
      <c r="AD57" s="16"/>
      <c r="AE57" s="16"/>
      <c r="AF57" s="16"/>
      <c r="AG57" s="16"/>
      <c r="AH57" s="16"/>
    </row>
    <row r="58" ht="15.75" customHeight="1">
      <c r="A58" s="6" t="s">
        <v>269</v>
      </c>
      <c r="B58" s="8" t="s">
        <v>270</v>
      </c>
      <c r="C58" s="8" t="s">
        <v>271</v>
      </c>
      <c r="D58" s="17" t="s">
        <v>272</v>
      </c>
      <c r="E58" s="10" t="s">
        <v>13</v>
      </c>
      <c r="F58" s="17" t="s">
        <v>273</v>
      </c>
      <c r="G58" s="11" t="s">
        <v>15</v>
      </c>
      <c r="H58" s="11" t="s">
        <v>16</v>
      </c>
      <c r="I58" s="16" t="str">
        <f>IFERROR(__xludf.DUMMYFUNCTION("IFERROR(INDEX(IMPORTXML(B58,""//h2[@id='caracteristicas']/following-sibling::div/p""),1),""Not Found"")")," Mede de 31 a 41 centímetros de comprimento, e o peso do macho varia entre 
206-290 gramas e da fêmea 257-350 gramas, sendo os machos 20% menores que 
as fêmeas.")</f>
        <v> Mede de 31 a 41 centímetros de comprimento, e o peso do macho varia entre 
206-290 gramas e da fêmea 257-350 gramas, sendo os machos 20% menores que 
as fêmeas.</v>
      </c>
      <c r="J58" s="16"/>
      <c r="K58" s="16" t="str">
        <f>IFERROR(__xludf.DUMMYFUNCTION("""COMPUTED_VALUE""")," Há grande diferença entre os adultos e os imaturos, sendo que os últimos ")</f>
        <v> Há grande diferença entre os adultos e os imaturos, sendo que os últimos </v>
      </c>
      <c r="L58" s="16" t="str">
        <f>IFERROR(__xludf.DUMMYFUNCTION("""COMPUTED_VALUE"""),"podem ser confundidos")</f>
        <v>podem ser confundidos</v>
      </c>
      <c r="M58" s="16" t="str">
        <f>IFERROR(__xludf.DUMMYFUNCTION("""COMPUTED_VALUE""")," com vários outros gaviões, pois apresentam a coloração marrom-carijó. Já 
os adultos apresentam a ponta do ")</f>
        <v> com vários outros gaviões, pois apresentam a coloração marrom-carijó. Já 
os adultos apresentam a ponta do </v>
      </c>
      <c r="N58" s="16" t="str">
        <f>IFERROR(__xludf.DUMMYFUNCTION("""COMPUTED_VALUE"""),"bico")</f>
        <v>bico</v>
      </c>
      <c r="O58" s="16" t="str">
        <f>IFERROR(__xludf.DUMMYFUNCTION("""COMPUTED_VALUE""")," negra com a base amarelada; a cabeça e a parte superior das asas são 
amarronzadas, mas tornam-se cinza à medida que a ave amadurece. O peito é 
ferruginoso e apresenta largas estrias verticais. O ventre e as pernas são 
brancos, com primoroso barrado fe"&amp;"rrugíneo. A base da cauda é branca, mas 
vai se tornando barrada em direção à extremidade. Existem duas listras 
negras bem visíveis na extremidade da cauda. Quando em voo, suas asas são 
largas e de comprimento médio. A coloração básica da parte inferior"&amp;" das 
asas é o bege estriado com finas listras escuras.")</f>
        <v> negra com a base amarelada; a cabeça e a parte superior das asas são 
amarronzadas, mas tornam-se cinza à medida que a ave amadurece. O peito é 
ferruginoso e apresenta largas estrias verticais. O ventre e as pernas são 
brancos, com primoroso barrado ferrugíneo. A base da cauda é branca, mas 
vai se tornando barrada em direção à extremidade. Existem duas listras 
negras bem visíveis na extremidade da cauda. Quando em voo, suas asas são 
largas e de comprimento médio. A coloração básica da parte inferior das 
asas é o bege estriado com finas listras escuras.</v>
      </c>
      <c r="P58" s="16"/>
      <c r="Q58" s="16" t="str">
        <f>IFERROR(__xludf.DUMMYFUNCTION("""COMPUTED_VALUE""")," Bico recurvado escuro com cere amarela. A íris é clara. Os tarsos e pés 
são amarelos e apresentam garras escuras. ")</f>
        <v> Bico recurvado escuro com cere amarela. A íris é clara. Os tarsos e pés 
são amarelos e apresentam garras escuras. </v>
      </c>
      <c r="R58" s="16"/>
      <c r="S58" s="16"/>
      <c r="T58" s="16"/>
      <c r="U58" s="16"/>
    </row>
    <row r="59" ht="15.75" customHeight="1">
      <c r="A59" s="23" t="s">
        <v>274</v>
      </c>
      <c r="B59" s="18" t="s">
        <v>275</v>
      </c>
      <c r="C59" s="19" t="s">
        <v>276</v>
      </c>
      <c r="D59" s="20" t="s">
        <v>277</v>
      </c>
      <c r="E59" s="10" t="s">
        <v>13</v>
      </c>
      <c r="F59" s="17" t="s">
        <v>278</v>
      </c>
      <c r="G59" s="11" t="s">
        <v>15</v>
      </c>
      <c r="H59" s="11" t="s">
        <v>16</v>
      </c>
      <c r="I59" s="16" t="str">
        <f>IFERROR(__xludf.DUMMYFUNCTION("IFERROR(INDEX(IMPORTXML(B59,""//h2[@id='caracteristicas']/following-sibling::div/p""),1),""Not Found"")")," Mede de 48 a 56 centímetros de comprimento e tem envergadura de 115 
centímetros. O macho pesa 725 gramas e a fêmea entre 834 e 1047 gramas. As ")</f>
        <v> Mede de 48 a 56 centímetros de comprimento e tem envergadura de 115 
centímetros. O macho pesa 725 gramas e a fêmea entre 834 e 1047 gramas. As </v>
      </c>
      <c r="J59" s="16" t="str">
        <f>IFERROR(__xludf.DUMMYFUNCTION("""COMPUTED_VALUE"""),"subespécies")</f>
        <v>subespécies</v>
      </c>
      <c r="K59" s="16" t="str">
        <f>IFERROR(__xludf.DUMMYFUNCTION("""COMPUTED_VALUE""")," norte-americanas são maiores que as do Brasil, e além disso os indivíduos 
brasileiros possuem uma ")</f>
        <v> norte-americanas são maiores que as do Brasil, e além disso os indivíduos 
brasileiros possuem uma </v>
      </c>
      <c r="L59" s="16" t="str">
        <f>IFERROR(__xludf.DUMMYFUNCTION("""COMPUTED_VALUE"""),"plumagem mais clara")</f>
        <v>plumagem mais clara</v>
      </c>
      <c r="M59" s="16" t="str">
        <f>IFERROR(__xludf.DUMMYFUNCTION("""COMPUTED_VALUE"""),", enquanto as norte-americanas possuem uma coloração castanha bem escura.")</f>
        <v>, enquanto as norte-americanas possuem uma coloração castanha bem escura.</v>
      </c>
      <c r="N59" s="16"/>
      <c r="O59" s="16" t="str">
        <f>IFERROR(__xludf.DUMMYFUNCTION("""COMPUTED_VALUE""")," Espécie bastante arisca, não permite a aproximação de humanos com 
facilidade. Tem a plumagem castanho-escura, com as coberteiras, escapulares 
(nas asas) e das coxas, com coloração castanho-avermelhada. As penas ")</f>
        <v> Espécie bastante arisca, não permite a aproximação de humanos com 
facilidade. Tem a plumagem castanho-escura, com as coberteiras, escapulares 
(nas asas) e das coxas, com coloração castanho-avermelhada. As penas </v>
      </c>
      <c r="P59" s="16" t="str">
        <f>IFERROR(__xludf.DUMMYFUNCTION("""COMPUTED_VALUE"""),"cloacais")</f>
        <v>cloacais</v>
      </c>
      <c r="Q59" s="16" t="str">
        <f>IFERROR(__xludf.DUMMYFUNCTION("""COMPUTED_VALUE""")," e a extremidade da cauda têm cor branca. A fêmea tem plumagem semelhante à 
do macho, mas é maior. ")</f>
        <v> e a extremidade da cauda têm cor branca. A fêmea tem plumagem semelhante à 
do macho, mas é maior. </v>
      </c>
    </row>
    <row r="60" ht="15.75" customHeight="1">
      <c r="A60" s="6" t="s">
        <v>279</v>
      </c>
      <c r="B60" s="8" t="s">
        <v>280</v>
      </c>
      <c r="C60" s="14" t="s">
        <v>281</v>
      </c>
      <c r="D60" s="17" t="s">
        <v>282</v>
      </c>
      <c r="E60" s="10" t="s">
        <v>13</v>
      </c>
      <c r="F60" s="17" t="s">
        <v>283</v>
      </c>
      <c r="G60" s="11" t="s">
        <v>15</v>
      </c>
      <c r="H60" s="11" t="s">
        <v>16</v>
      </c>
      <c r="I60" s="16" t="str">
        <f>IFERROR(__xludf.DUMMYFUNCTION("IFERROR(INDEX(IMPORTXML(B60,""//h2[@id='caracteristicas']/following-sibling::div/p""),1),""Not Found"")")," Mede 29-35 cm de comprimento e envergadura de 60-70 cm (Del Hoyo et al. 
1994, ")</f>
        <v> Mede 29-35 cm de comprimento e envergadura de 60-70 cm (Del Hoyo et al. 
1994, </v>
      </c>
      <c r="J60" s="16" t="str">
        <f>IFERROR(__xludf.DUMMYFUNCTION("""COMPUTED_VALUE"""),"apud")</f>
        <v>apud</v>
      </c>
      <c r="K60" s="16" t="str">
        <f>IFERROR(__xludf.DUMMYFUNCTION("""COMPUTED_VALUE""")," Menq, 2016). O adulto apresenta plumagem cinza na parte ventral e 
cinza-escuro no dorso, com calções de cor ferrugem, cera e tarsos 
amarelados, e íris que varia do castanho ao marrom-avermelhado. Além disso, 
apresenta a garganta clara com uma listra v"&amp;"ertical escura, característica 
que serve para diferenciá-lo do ")</f>
        <v> Menq, 2016). O adulto apresenta plumagem cinza na parte ventral e 
cinza-escuro no dorso, com calções de cor ferrugem, cera e tarsos 
amarelados, e íris que varia do castanho ao marrom-avermelhado. Além disso, 
apresenta a garganta clara com uma listra vertical escura, característica 
que serve para diferenciá-lo do </v>
      </c>
      <c r="L60" s="16" t="str">
        <f>IFERROR(__xludf.DUMMYFUNCTION("""COMPUTED_VALUE"""),"gavião-bombachinha-grande")</f>
        <v>gavião-bombachinha-grande</v>
      </c>
      <c r="M60" s="16" t="str">
        <f>IFERROR(__xludf.DUMMYFUNCTION("""COMPUTED_VALUE""")," (")</f>
        <v> (</v>
      </c>
      <c r="N60" s="16" t="str">
        <f>IFERROR(__xludf.DUMMYFUNCTION("""COMPUTED_VALUE"""),"Accipiter bicolor")</f>
        <v>Accipiter bicolor</v>
      </c>
      <c r="O60" s="16" t="str">
        <f>IFERROR(__xludf.DUMMYFUNCTION("""COMPUTED_VALUE"""),"). O jovem apresenta peito creme salpicado de marrom, calções ferrugíneos, 
dorso marrom escuro e íris mais clara, variando do amarelo ao castanho. ")</f>
        <v>). O jovem apresenta peito creme salpicado de marrom, calções ferrugíneos, 
dorso marrom escuro e íris mais clara, variando do amarelo ao castanho. </v>
      </c>
      <c r="P60" s="16"/>
      <c r="Q60" s="16"/>
    </row>
    <row r="61" ht="15.75" customHeight="1">
      <c r="A61" s="6" t="s">
        <v>284</v>
      </c>
      <c r="B61" s="8" t="s">
        <v>285</v>
      </c>
      <c r="C61" s="8" t="s">
        <v>286</v>
      </c>
      <c r="D61" s="17" t="s">
        <v>287</v>
      </c>
      <c r="E61" s="9" t="s">
        <v>47</v>
      </c>
      <c r="F61" s="17" t="s">
        <v>288</v>
      </c>
      <c r="G61" s="11" t="s">
        <v>16</v>
      </c>
      <c r="H61" s="11" t="s">
        <v>16</v>
      </c>
      <c r="I61" s="16" t="str">
        <f>IFERROR(__xludf.DUMMYFUNCTION("IFERROR(INDEX(IMPORTXML(B61,""//h2[@id='caracteristicas']/following-sibling::div/p""),1),""Not Found"")")," Mede entre 14 e 16 centímetros de comprimento e pesa entre 5,3 e 9 gramas 
(Hinkelmann, 2013), sendo o maior beija-flor da ")</f>
        <v> Mede entre 14 e 16 centímetros de comprimento e pesa entre 5,3 e 9 gramas 
(Hinkelmann, 2013), sendo o maior beija-flor da </v>
      </c>
      <c r="J61" s="16" t="str">
        <f>IFERROR(__xludf.DUMMYFUNCTION("""COMPUTED_VALUE"""),"Mata Atlântica")</f>
        <v>Mata Atlântica</v>
      </c>
      <c r="K61" s="16" t="str">
        <f>IFERROR(__xludf.DUMMYFUNCTION("""COMPUTED_VALUE""")," e um dos maiores do mundo. Partes superiores marrom esverdeadas; ")</f>
        <v> e um dos maiores do mundo. Partes superiores marrom esverdeadas; </v>
      </c>
      <c r="L61" s="16" t="str">
        <f>IFERROR(__xludf.DUMMYFUNCTION("""COMPUTED_VALUE"""),"cabeça")</f>
        <v>cabeça</v>
      </c>
      <c r="M61" s="16" t="str">
        <f>IFERROR(__xludf.DUMMYFUNCTION("""COMPUTED_VALUE""")," escura; garganta e pescoço laranja com uma listra escura no meio; face 
laranja, com larga ")</f>
        <v> escura; garganta e pescoço laranja com uma listra escura no meio; face 
laranja, com larga </v>
      </c>
      <c r="N61" s="16" t="str">
        <f>IFERROR(__xludf.DUMMYFUNCTION("""COMPUTED_VALUE"""),"faixa transocular")</f>
        <v>faixa transocular</v>
      </c>
      <c r="O61" s="16" t="str">
        <f>IFERROR(__xludf.DUMMYFUNCTION("""COMPUTED_VALUE""")," preta e estreita ")</f>
        <v> preta e estreita </v>
      </c>
      <c r="P61" s="16" t="str">
        <f>IFERROR(__xludf.DUMMYFUNCTION("""COMPUTED_VALUE"""),"faixa superciliar")</f>
        <v>faixa superciliar</v>
      </c>
      <c r="Q61" s="16" t="str">
        <f>IFERROR(__xludf.DUMMYFUNCTION("""COMPUTED_VALUE""")," pardacenta, sendo mais clara no macho; partes inferiores pardacentas, 
amplamente estriadas de negro, principalmente o peito. Asas pretas; cauda 
larga, não prolongada com as ")</f>
        <v> pardacenta, sendo mais clara no macho; partes inferiores pardacentas, 
amplamente estriadas de negro, principalmente o peito. Asas pretas; cauda 
larga, não prolongada com as </v>
      </c>
      <c r="R61" s="16" t="str">
        <f>IFERROR(__xludf.DUMMYFUNCTION("""COMPUTED_VALUE"""),"retrizes")</f>
        <v>retrizes</v>
      </c>
      <c r="S61" s="16" t="str">
        <f>IFERROR(__xludf.DUMMYFUNCTION("""COMPUTED_VALUE""")," centrais pretas e as laterais pardo-claras. Bico forte de base larga, reto 
e terminando num gancho no macho e suavemente curvo na fêmea, o que pode 
ser explicado por diferença de hábitos alimentares; mandíbula amarela e 
maxila preta.")</f>
        <v> centrais pretas e as laterais pardo-claras. Bico forte de base larga, reto 
e terminando num gancho no macho e suavemente curvo na fêmea, o que pode 
ser explicado por diferença de hábitos alimentares; mandíbula amarela e 
maxila preta.</v>
      </c>
      <c r="T61" s="16"/>
      <c r="U61" s="16" t="str">
        <f>IFERROR(__xludf.DUMMYFUNCTION("""COMPUTED_VALUE""")," Fêmea e imaturos tem uma mácula menor na garganta. ")</f>
        <v> Fêmea e imaturos tem uma mácula menor na garganta. </v>
      </c>
    </row>
    <row r="62" ht="15.75" customHeight="1">
      <c r="A62" s="6" t="s">
        <v>289</v>
      </c>
      <c r="B62" s="8" t="s">
        <v>290</v>
      </c>
      <c r="C62" s="8" t="s">
        <v>291</v>
      </c>
      <c r="D62" s="17" t="s">
        <v>292</v>
      </c>
      <c r="E62" s="10" t="s">
        <v>13</v>
      </c>
      <c r="F62" s="17" t="s">
        <v>288</v>
      </c>
      <c r="G62" s="11" t="s">
        <v>15</v>
      </c>
      <c r="H62" s="11" t="s">
        <v>16</v>
      </c>
      <c r="I62" s="16" t="str">
        <f>IFERROR(__xludf.DUMMYFUNCTION("IFERROR(INDEX(IMPORTXML(B62,""//h2[@id='caracteristicas']/following-sibling::div/p""),1),""Not Found"")")," Mede 13 centímetros de comprimento e pesa 7 gramas, ")</f>
        <v> Mede 13 centímetros de comprimento e pesa 7 gramas, </v>
      </c>
      <c r="J62" s="16" t="str">
        <f>IFERROR(__xludf.DUMMYFUNCTION("""COMPUTED_VALUE"""),"bico")</f>
        <v>bico</v>
      </c>
      <c r="K62" s="16" t="str">
        <f>IFERROR(__xludf.DUMMYFUNCTION("""COMPUTED_VALUE""")," de 3 centímetros. É robusto, de bico longo e curvo, com mandíbula 
amarelo-claro e maxila negra. Partes superiores verde-bronzeadas; ")</f>
        <v> de 3 centímetros. É robusto, de bico longo e curvo, com mandíbula 
amarelo-claro e maxila negra. Partes superiores verde-bronzeadas; </v>
      </c>
      <c r="L62" s="16" t="str">
        <f>IFERROR(__xludf.DUMMYFUNCTION("""COMPUTED_VALUE"""),"faixa pós ocular")</f>
        <v>faixa pós ocular</v>
      </c>
      <c r="M62" s="16" t="str">
        <f>IFERROR(__xludf.DUMMYFUNCTION("""COMPUTED_VALUE""")," escurecida e estreita ")</f>
        <v> escurecida e estreita </v>
      </c>
      <c r="N62" s="16" t="str">
        <f>IFERROR(__xludf.DUMMYFUNCTION("""COMPUTED_VALUE"""),"faixa superciliar")</f>
        <v>faixa superciliar</v>
      </c>
      <c r="O62" s="16" t="str">
        <f>IFERROR(__xludf.DUMMYFUNCTION("""COMPUTED_VALUE""")," branca; partes inferiores ferrugíneas, sendo mais intenso na garganta e 
peito superior. ")</f>
        <v> branca; partes inferiores ferrugíneas, sendo mais intenso na garganta e 
peito superior. </v>
      </c>
      <c r="P62" s="16" t="str">
        <f>IFERROR(__xludf.DUMMYFUNCTION("""COMPUTED_VALUE"""),"Retrizes")</f>
        <v>Retrizes</v>
      </c>
      <c r="Q62" s="16" t="str">
        <f>IFERROR(__xludf.DUMMYFUNCTION("""COMPUTED_VALUE""")," castanhas com larga faixa subterminal negra e ponta branca sendo as 
centrais verdes e não alongadas. A fêmea é mais clara ventralmente e tem o 
bico mais curvo que o macho. Pousado, ou mesmo a pairar em voo, pode ser 
visto balançando insistentemente a "&amp;"cauda para frente e para trás, fazendo 
jus a seu principal nome popular.")</f>
        <v> castanhas com larga faixa subterminal negra e ponta branca sendo as 
centrais verdes e não alongadas. A fêmea é mais clara ventralmente e tem o 
bico mais curvo que o macho. Pousado, ou mesmo a pairar em voo, pode ser 
visto balançando insistentemente a cauda para frente e para trás, fazendo 
jus a seu principal nome popular.</v>
      </c>
      <c r="R62" s="16"/>
      <c r="S62" s="16" t="str">
        <f>IFERROR(__xludf.DUMMYFUNCTION("""COMPUTED_VALUE""")," O juvenil da espécie foi erroneamente descrita como uma espécie separada, 
o Threnetes grzimeki. ")</f>
        <v> O juvenil da espécie foi erroneamente descrita como uma espécie separada, 
o Threnetes grzimeki. </v>
      </c>
    </row>
    <row r="63" ht="15.75" customHeight="1">
      <c r="A63" s="6" t="s">
        <v>293</v>
      </c>
      <c r="B63" s="8" t="s">
        <v>294</v>
      </c>
      <c r="C63" s="8" t="s">
        <v>295</v>
      </c>
      <c r="D63" s="17" t="s">
        <v>296</v>
      </c>
      <c r="E63" s="10" t="s">
        <v>13</v>
      </c>
      <c r="F63" s="17" t="s">
        <v>288</v>
      </c>
      <c r="G63" s="11" t="s">
        <v>15</v>
      </c>
      <c r="H63" s="11" t="s">
        <v>16</v>
      </c>
      <c r="I63" s="16" t="str">
        <f>IFERROR(__xludf.DUMMYFUNCTION("IFERROR(INDEX(IMPORTXML(B63,""//h2[@id='caracteristicas']/following-sibling::div/p""),1),""Not Found"")")," Mede aproximadamente 11,1 centímetros. Verde brilhante de ")</f>
        <v> Mede aproximadamente 11,1 centímetros. Verde brilhante de </v>
      </c>
      <c r="J63" s="16" t="str">
        <f>IFERROR(__xludf.DUMMYFUNCTION("""COMPUTED_VALUE"""),"boné")</f>
        <v>boné</v>
      </c>
      <c r="K63" s="16" t="str">
        <f>IFERROR(__xludf.DUMMYFUNCTION("""COMPUTED_VALUE""")," azul-violeta, tufos do ")</f>
        <v> azul-violeta, tufos do </v>
      </c>
      <c r="L63" s="16" t="str">
        <f>IFERROR(__xludf.DUMMYFUNCTION("""COMPUTED_VALUE"""),"crisso")</f>
        <v>crisso</v>
      </c>
      <c r="M63" s="16" t="str">
        <f>IFERROR(__xludf.DUMMYFUNCTION("""COMPUTED_VALUE""")," brancos, ")</f>
        <v> brancos, </v>
      </c>
      <c r="N63" s="16" t="str">
        <f>IFERROR(__xludf.DUMMYFUNCTION("""COMPUTED_VALUE"""),"retrizes")</f>
        <v>retrizes</v>
      </c>
      <c r="O63" s="16" t="str">
        <f>IFERROR(__xludf.DUMMYFUNCTION("""COMPUTED_VALUE""")," azul-aço, bico negro. A fêmea apresenta as partes inferiores brancas 
sujas, retrizes laterais com pontas brancas, testa e lado inferior às vezes 
lavados de canela.")</f>
        <v> azul-aço, bico negro. A fêmea apresenta as partes inferiores brancas 
sujas, retrizes laterais com pontas brancas, testa e lado inferior às vezes 
lavados de canela.</v>
      </c>
      <c r="P63" s="16"/>
      <c r="Q63" s="16" t="str">
        <f>IFERROR(__xludf.DUMMYFUNCTION("""COMPUTED_VALUE""")," Sua ")</f>
        <v> Sua </v>
      </c>
      <c r="R63" s="16" t="str">
        <f>IFERROR(__xludf.DUMMYFUNCTION("""COMPUTED_VALUE"""),"manifestações sonora")</f>
        <v>manifestações sonora</v>
      </c>
      <c r="S63" s="16" t="str">
        <f>IFERROR(__xludf.DUMMYFUNCTION("""COMPUTED_VALUE""")," se dá pelo canto: “tirip-trip-trip-ti-tri…”. ")</f>
        <v> se dá pelo canto: “tirip-trip-trip-ti-tri…”. </v>
      </c>
    </row>
    <row r="64" ht="15.75" customHeight="1">
      <c r="A64" s="6" t="s">
        <v>297</v>
      </c>
      <c r="B64" s="8" t="s">
        <v>298</v>
      </c>
      <c r="C64" s="8" t="s">
        <v>299</v>
      </c>
      <c r="D64" s="17" t="s">
        <v>300</v>
      </c>
      <c r="E64" s="10" t="s">
        <v>13</v>
      </c>
      <c r="F64" s="17" t="s">
        <v>288</v>
      </c>
      <c r="G64" s="11" t="s">
        <v>16</v>
      </c>
      <c r="H64" s="11" t="s">
        <v>16</v>
      </c>
      <c r="I64" s="16" t="str">
        <f>IFERROR(__xludf.DUMMYFUNCTION("IFERROR(INDEX(IMPORTXML(B64,""//h2[@id='caracteristicas']/following-sibling::div/p""),1),""Not Found"")")," Mede entre 10,8 e 11,3 centímetros de comprimento. O macho da espécie pesa 
entre 7 e 9,2 gramas e a fêmea pesa entre 5,9 e 7,1 gramas. (Schuchmann, 
2016).")</f>
        <v> Mede entre 10,8 e 11,3 centímetros de comprimento. O macho da espécie pesa 
entre 7 e 9,2 gramas e a fêmea pesa entre 5,9 e 7,1 gramas. (Schuchmann, 
2016).</v>
      </c>
      <c r="J64" s="16"/>
      <c r="K64" s="16" t="str">
        <f>IFERROR(__xludf.DUMMYFUNCTION("""COMPUTED_VALUE""")," Apresenta acentuado ")</f>
        <v> Apresenta acentuado </v>
      </c>
      <c r="L64" s="16" t="str">
        <f>IFERROR(__xludf.DUMMYFUNCTION("""COMPUTED_VALUE"""),"dimorfismo sexual")</f>
        <v>dimorfismo sexual</v>
      </c>
      <c r="M64" s="16" t="str">
        <f>IFERROR(__xludf.DUMMYFUNCTION("""COMPUTED_VALUE"""),".")</f>
        <v>.</v>
      </c>
      <c r="N64" s="16"/>
      <c r="O64" s="16" t="str">
        <f>IFERROR(__xludf.DUMMYFUNCTION("""COMPUTED_VALUE""")," O macho é predominantemente verde, com a cauda avermelhada que lhe dá o 
epíteto específico de ")</f>
        <v> O macho é predominantemente verde, com a cauda avermelhada que lhe dá o 
epíteto específico de </v>
      </c>
      <c r="P64" s="16" t="str">
        <f>IFERROR(__xludf.DUMMYFUNCTION("""COMPUTED_VALUE"""),"rubricauda")</f>
        <v>rubricauda</v>
      </c>
      <c r="Q64" s="16" t="str">
        <f>IFERROR(__xludf.DUMMYFUNCTION("""COMPUTED_VALUE"""),", e se destaca pela coloração rubi do papo e o verde cintilante da fronte e 
peito. No sombreado da mata, quando em repouso, aparenta uma coloração 
negra destacando as manchas brancas pós-oculares.")</f>
        <v>, e se destaca pela coloração rubi do papo e o verde cintilante da fronte e 
peito. No sombreado da mata, quando em repouso, aparenta uma coloração 
negra destacando as manchas brancas pós-oculares.</v>
      </c>
      <c r="R64" s="16"/>
      <c r="S64" s="16" t="str">
        <f>IFERROR(__xludf.DUMMYFUNCTION("""COMPUTED_VALUE""")," A fêmea tem coloração canela na parte de baixo do corpo, ")</f>
        <v> A fêmea tem coloração canela na parte de baixo do corpo, </v>
      </c>
      <c r="T64" s="16" t="str">
        <f>IFERROR(__xludf.DUMMYFUNCTION("""COMPUTED_VALUE"""),"cabeça")</f>
        <v>cabeça</v>
      </c>
      <c r="U64" s="16" t="str">
        <f>IFERROR(__xludf.DUMMYFUNCTION("""COMPUTED_VALUE""")," e dorso verdes, e também apresenta as manchas brancas por trás dos olhos. ")</f>
        <v> e dorso verdes, e também apresenta as manchas brancas por trás dos olhos. </v>
      </c>
    </row>
    <row r="65" ht="15.75" customHeight="1">
      <c r="A65" s="23" t="s">
        <v>301</v>
      </c>
      <c r="B65" s="8" t="s">
        <v>302</v>
      </c>
      <c r="C65" s="8" t="s">
        <v>303</v>
      </c>
      <c r="D65" s="17" t="s">
        <v>304</v>
      </c>
      <c r="E65" s="10" t="s">
        <v>13</v>
      </c>
      <c r="F65" s="17" t="s">
        <v>288</v>
      </c>
      <c r="G65" s="11" t="s">
        <v>15</v>
      </c>
      <c r="H65" s="11" t="s">
        <v>16</v>
      </c>
      <c r="I65" s="16" t="str">
        <f>IFERROR(__xludf.DUMMYFUNCTION("IFERROR(INDEX(IMPORTXML(B65,""//h2[@id='caracteristicas']/following-sibling::div/p""),1),""Not Found"")")," Possui o ")</f>
        <v> Possui o </v>
      </c>
      <c r="J65" s="16" t="str">
        <f>IFERROR(__xludf.DUMMYFUNCTION("""COMPUTED_VALUE"""),"corpo")</f>
        <v>corpo</v>
      </c>
      <c r="K65" s="16" t="str">
        <f>IFERROR(__xludf.DUMMYFUNCTION("""COMPUTED_VALUE""")," cinza-esverdeado. Cabeça e partes superiores verde-acobreadas; face 
cinza-esverdeada com uma pequena mancha pós-ocular branca; bico preto 
ligeiramente curvado para baixo. Partes inferiores cinza-escuras com tons 
de verde no pescoço e uma mácula uropig"&amp;"iana e tufos no crisso brancos. 
Cauda grande e asas largas de cor cinza-escura quase preta. Tamanho 12 cm. 
A fêmea e o macho têm a mesma aparência, no entanto ela é um pouco menor. ")</f>
        <v> cinza-esverdeado. Cabeça e partes superiores verde-acobreadas; face 
cinza-esverdeada com uma pequena mancha pós-ocular branca; bico preto 
ligeiramente curvado para baixo. Partes inferiores cinza-escuras com tons 
de verde no pescoço e uma mácula uropigiana e tufos no crisso brancos. 
Cauda grande e asas largas de cor cinza-escura quase preta. Tamanho 12 cm. 
A fêmea e o macho têm a mesma aparência, no entanto ela é um pouco menor. </v>
      </c>
    </row>
    <row r="66" ht="15.75" customHeight="1">
      <c r="A66" s="6" t="s">
        <v>305</v>
      </c>
      <c r="B66" s="8" t="s">
        <v>306</v>
      </c>
      <c r="C66" s="8" t="s">
        <v>307</v>
      </c>
      <c r="D66" s="17" t="s">
        <v>308</v>
      </c>
      <c r="E66" s="10" t="s">
        <v>13</v>
      </c>
      <c r="F66" s="17" t="s">
        <v>288</v>
      </c>
      <c r="G66" s="11" t="s">
        <v>15</v>
      </c>
      <c r="H66" s="11" t="s">
        <v>16</v>
      </c>
      <c r="I66" s="16" t="str">
        <f>IFERROR(__xludf.DUMMYFUNCTION("IFERROR(INDEX(IMPORTXML(B66,""//h2[@id='caracteristicas']/following-sibling::div/p""),1),""Not Found"")")," Esta espécie de beija-flor possui em média 12,6 centímetros. O colorido 
contrastante vistoso das ")</f>
        <v> Esta espécie de beija-flor possui em média 12,6 centímetros. O colorido 
contrastante vistoso das </v>
      </c>
      <c r="J66" s="16" t="str">
        <f>IFERROR(__xludf.DUMMYFUNCTION("""COMPUTED_VALUE"""),"retrizes")</f>
        <v>retrizes</v>
      </c>
      <c r="K66" s="16" t="str">
        <f>IFERROR(__xludf.DUMMYFUNCTION("""COMPUTED_VALUE""")," é exibido quando o pássaro expande a cauda em um leque branco cortado em 
duas metades pelas centrais negras ou quando abre e fecha rápido as 
caudais. O branco da cauda continua até os flancos e forma uma faixa sobre 
o crisso.")</f>
        <v> é exibido quando o pássaro expande a cauda em um leque branco cortado em 
duas metades pelas centrais negras ou quando abre e fecha rápido as 
caudais. O branco da cauda continua até os flancos e forma uma faixa sobre 
o crisso.</v>
      </c>
      <c r="L66" s="16"/>
      <c r="M66" s="16" t="str">
        <f>IFERROR(__xludf.DUMMYFUNCTION("""COMPUTED_VALUE""")," Os indivíduos jovens são negros quase que totalmente manchados de pardo. 
Apresentam uma faixa maxilar castanha, cauda canela ou negra, sendo brancas 
somente as ")</f>
        <v> Os indivíduos jovens são negros quase que totalmente manchados de pardo. 
Apresentam uma faixa maxilar castanha, cauda canela ou negra, sendo brancas 
somente as </v>
      </c>
      <c r="N66" s="16" t="str">
        <f>IFERROR(__xludf.DUMMYFUNCTION("""COMPUTED_VALUE"""),"retrizes")</f>
        <v>retrizes</v>
      </c>
      <c r="O66" s="16" t="str">
        <f>IFERROR(__xludf.DUMMYFUNCTION("""COMPUTED_VALUE""")," laterais.")</f>
        <v> laterais.</v>
      </c>
      <c r="P66" s="16"/>
      <c r="Q66" s="16"/>
    </row>
    <row r="67" ht="15.75" customHeight="1">
      <c r="A67" s="6" t="s">
        <v>309</v>
      </c>
      <c r="B67" s="8" t="s">
        <v>310</v>
      </c>
      <c r="C67" s="8" t="s">
        <v>311</v>
      </c>
      <c r="D67" s="17" t="s">
        <v>312</v>
      </c>
      <c r="E67" s="10" t="s">
        <v>13</v>
      </c>
      <c r="F67" s="17" t="s">
        <v>288</v>
      </c>
      <c r="G67" s="11" t="s">
        <v>15</v>
      </c>
      <c r="H67" s="11" t="s">
        <v>16</v>
      </c>
      <c r="I67" s="16" t="str">
        <f>IFERROR(__xludf.DUMMYFUNCTION("IFERROR(INDEX(IMPORTXML(B67,""//h2[@id='caracteristicas']/following-sibling::div/p""),1),""Not Found"")")," Mede entre 15 e 18 centímetros de comprimento, sendo um dos maiores 
beija-flores brasileiros, pesando em torno de 6-11 gramas. ")</f>
        <v> Mede entre 15 e 18 centímetros de comprimento, sendo um dos maiores 
beija-flores brasileiros, pesando em torno de 6-11 gramas. </v>
      </c>
      <c r="J67" s="16" t="str">
        <f>IFERROR(__xludf.DUMMYFUNCTION("""COMPUTED_VALUE"""),"Cabeça")</f>
        <v>Cabeça</v>
      </c>
      <c r="K67" s="16" t="str">
        <f>IFERROR(__xludf.DUMMYFUNCTION("""COMPUTED_VALUE"""),", pescoço e parte superior do tórax de um profundo azul violeta; restante 
da plumagem verde-escuro iridescente. Pequena mancha branca atrás dos 
olhos; ")</f>
        <v>, pescoço e parte superior do tórax de um profundo azul violeta; restante 
da plumagem verde-escuro iridescente. Pequena mancha branca atrás dos 
olhos; </v>
      </c>
      <c r="L67" s="16" t="str">
        <f>IFERROR(__xludf.DUMMYFUNCTION("""COMPUTED_VALUE"""),"rêmiges")</f>
        <v>rêmiges</v>
      </c>
      <c r="M67" s="16" t="str">
        <f>IFERROR(__xludf.DUMMYFUNCTION("""COMPUTED_VALUE""")," castanho-escuro; raques das primárias externas alargadas, embora sejam bem 
menos evidentes que as espécies do gênero ")</f>
        <v> castanho-escuro; raques das primárias externas alargadas, embora sejam bem 
menos evidentes que as espécies do gênero </v>
      </c>
      <c r="N67" s="16" t="str">
        <f>IFERROR(__xludf.DUMMYFUNCTION("""COMPUTED_VALUE"""),"Campylopterus")</f>
        <v>Campylopterus</v>
      </c>
      <c r="O67" s="16" t="str">
        <f>IFERROR(__xludf.DUMMYFUNCTION("""COMPUTED_VALUE"""),"; cauda azul-escuro; ")</f>
        <v>; cauda azul-escuro; </v>
      </c>
      <c r="P67" s="16" t="str">
        <f>IFERROR(__xludf.DUMMYFUNCTION("""COMPUTED_VALUE"""),"calções")</f>
        <v>calções</v>
      </c>
      <c r="Q67" s="16" t="str">
        <f>IFERROR(__xludf.DUMMYFUNCTION("""COMPUTED_VALUE""")," brancos; bico ligeiramente curvado para baixo, preto com 2,2 centímetros 
de comprimento. Tem como característica principal a cauda longa e 
profundamente furcada que toma quase 2/3 do seu tamanho total. 
Esporadicamente apresenta as penas azuladas da fr"&amp;"onte tingidas de branco, 
amarelo ou de cores diversas, em virtude do acúmulo de pólen proveniente 
das flores que poliniza. A fêmea é quase igual ao macho, sendo um pouco 
menor e mais pálida. O imaturo é como a fêmea, mas a cabeça é 
particularmente mai"&amp;"s pálida e tingida de marrom. Os beija-flores têm o mais 
acelerado ")</f>
        <v> brancos; bico ligeiramente curvado para baixo, preto com 2,2 centímetros 
de comprimento. Tem como característica principal a cauda longa e 
profundamente furcada que toma quase 2/3 do seu tamanho total. 
Esporadicamente apresenta as penas azuladas da fronte tingidas de branco, 
amarelo ou de cores diversas, em virtude do acúmulo de pólen proveniente 
das flores que poliniza. A fêmea é quase igual ao macho, sendo um pouco 
menor e mais pálida. O imaturo é como a fêmea, mas a cabeça é 
particularmente mais pálida e tingida de marrom. Os beija-flores têm o mais 
acelerado </v>
      </c>
      <c r="R67" s="16" t="str">
        <f>IFERROR(__xludf.DUMMYFUNCTION("""COMPUTED_VALUE"""),"metabolismo")</f>
        <v>metabolismo</v>
      </c>
      <c r="S67" s="16" t="str">
        <f>IFERROR(__xludf.DUMMYFUNCTION("""COMPUTED_VALUE""")," entre as aves. Podemos dizer que eles vivem em outro ritmo, pois tudo é 
acelerado. Quando em voo, podem bater as asas dezenas de vezes por segundo. 
O ")</f>
        <v> entre as aves. Podemos dizer que eles vivem em outro ritmo, pois tudo é 
acelerado. Quando em voo, podem bater as asas dezenas de vezes por segundo. 
O </v>
      </c>
      <c r="T67" s="16" t="str">
        <f>IFERROR(__xludf.DUMMYFUNCTION("""COMPUTED_VALUE"""),"canto")</f>
        <v>canto</v>
      </c>
      <c r="U67" s="16" t="str">
        <f>IFERROR(__xludf.DUMMYFUNCTION("""COMPUTED_VALUE""")," é muito agudo e rápido, parecendo um simples assovio para nossos ouvidos, 
mas quem estuda ")</f>
        <v> é muito agudo e rápido, parecendo um simples assovio para nossos ouvidos, 
mas quem estuda </v>
      </c>
      <c r="V67" s="16" t="str">
        <f>IFERROR(__xludf.DUMMYFUNCTION("""COMPUTED_VALUE"""),"bioacústica")</f>
        <v>bioacústica</v>
      </c>
      <c r="W67" s="16" t="str">
        <f>IFERROR(__xludf.DUMMYFUNCTION("""COMPUTED_VALUE""")," sabe que quando a vocalização destas aves é analisada com cuidado em um ")</f>
        <v> sabe que quando a vocalização destas aves é analisada com cuidado em um </v>
      </c>
      <c r="X67" s="16" t="str">
        <f>IFERROR(__xludf.DUMMYFUNCTION("""COMPUTED_VALUE"""),"sonograma")</f>
        <v>sonograma</v>
      </c>
      <c r="Y67" s="16" t="str">
        <f>IFERROR(__xludf.DUMMYFUNCTION("""COMPUTED_VALUE"""),", esta mostra-se muito complexa e até melodiosa. ")</f>
        <v>, esta mostra-se muito complexa e até melodiosa. </v>
      </c>
    </row>
    <row r="68" ht="15.75" customHeight="1">
      <c r="A68" s="6" t="s">
        <v>313</v>
      </c>
      <c r="B68" s="8" t="s">
        <v>314</v>
      </c>
      <c r="C68" s="8" t="s">
        <v>315</v>
      </c>
      <c r="D68" s="17" t="s">
        <v>316</v>
      </c>
      <c r="E68" s="10" t="s">
        <v>13</v>
      </c>
      <c r="F68" s="17" t="s">
        <v>288</v>
      </c>
      <c r="G68" s="11" t="s">
        <v>15</v>
      </c>
      <c r="H68" s="11" t="s">
        <v>16</v>
      </c>
      <c r="I68" s="16" t="str">
        <f>IFERROR(__xludf.DUMMYFUNCTION("IFERROR(INDEX(IMPORTXML(B68,""//h2[@id='caracteristicas']/following-sibling::div/p""),1),""Not Found"")")," A fêmea e o macho são de plumagens tão diferentes que parecem ser duas 
espécies separadas (")</f>
        <v> A fêmea e o macho são de plumagens tão diferentes que parecem ser duas 
espécies separadas (</v>
      </c>
      <c r="J68" s="16" t="str">
        <f>IFERROR(__xludf.DUMMYFUNCTION("""COMPUTED_VALUE"""),"dimorfismo sexual")</f>
        <v>dimorfismo sexual</v>
      </c>
      <c r="K68" s="16" t="str">
        <f>IFERROR(__xludf.DUMMYFUNCTION("""COMPUTED_VALUE"""),"). ")</f>
        <v>). </v>
      </c>
      <c r="L68" s="16"/>
      <c r="M68" s="16"/>
    </row>
    <row r="69" ht="15.75" customHeight="1">
      <c r="A69" s="13" t="s">
        <v>317</v>
      </c>
      <c r="B69" s="25" t="s">
        <v>318</v>
      </c>
      <c r="C69" s="25" t="s">
        <v>319</v>
      </c>
      <c r="D69" s="17" t="s">
        <v>320</v>
      </c>
      <c r="E69" s="9" t="s">
        <v>47</v>
      </c>
      <c r="F69" s="17" t="s">
        <v>288</v>
      </c>
      <c r="G69" s="11" t="s">
        <v>15</v>
      </c>
      <c r="H69" s="11" t="s">
        <v>16</v>
      </c>
      <c r="I69" s="16" t="str">
        <f>IFERROR(__xludf.DUMMYFUNCTION("IFERROR(INDEX(IMPORTXML(B69,""//h2[@id='caracteristicas']/following-sibling::div/p""),1),""Not Found"")")," O topetinho-verde é um pequeno beija-flor que mede entre 7,5 a 8,5 
centímetros e pesa apenas 3 gramas. Os machos desta espécie são elegantes e 
apresentam longos tufos de penas verdes com as pontas brancas na garganta. 
Quando eriçados, mostram bela man"&amp;"cha verde iridescente atrás dos olhos. 
Dorso superior verde e uropígio bronze, garganta verde, peito com manchas 
brancas, abdome cinzento e infracaudais brancas. Pálpebras azuis, bico 
negro. Os machos não apresentam topete na cor vermelha na cabeça. A "&amp;"fêmea 
não tem os tufos de longas penas na bochecha e em vez disso tem uma 
garganta marrom, peito com manchas brancas e uma faixa facial abaixo do 
olhos esbranquiçada. Ambos os sexos exibem uma banda branca no uropígio, 
como muitos outros do gênero, qu"&amp;"e para o macho é branca e para a fêmea é 
amarronzada. ")</f>
        <v> O topetinho-verde é um pequeno beija-flor que mede entre 7,5 a 8,5 
centímetros e pesa apenas 3 gramas. Os machos desta espécie são elegantes e 
apresentam longos tufos de penas verdes com as pontas brancas na garganta. 
Quando eriçados, mostram bela mancha verde iridescente atrás dos olhos. 
Dorso superior verde e uropígio bronze, garganta verde, peito com manchas 
brancas, abdome cinzento e infracaudais brancas. Pálpebras azuis, bico 
negro. Os machos não apresentam topete na cor vermelha na cabeça. A fêmea 
não tem os tufos de longas penas na bochecha e em vez disso tem uma 
garganta marrom, peito com manchas brancas e uma faixa facial abaixo do 
olhos esbranquiçada. Ambos os sexos exibem uma banda branca no uropígio, 
como muitos outros do gênero, que para o macho é branca e para a fêmea é 
amarronzada. </v>
      </c>
      <c r="J69" s="16"/>
      <c r="K69" s="16"/>
      <c r="L69" s="16"/>
      <c r="M69" s="16"/>
      <c r="N69" s="16"/>
      <c r="O69" s="16"/>
      <c r="P69" s="16"/>
      <c r="Q69" s="16"/>
      <c r="R69" s="16"/>
      <c r="S69" s="16"/>
      <c r="T69" s="16"/>
      <c r="U69" s="16"/>
      <c r="V69" s="16"/>
      <c r="W69" s="16"/>
      <c r="X69" s="16"/>
      <c r="Y69" s="16"/>
      <c r="Z69" s="16"/>
    </row>
    <row r="70" ht="15.75" customHeight="1">
      <c r="A70" s="6" t="s">
        <v>321</v>
      </c>
      <c r="B70" s="8" t="s">
        <v>322</v>
      </c>
      <c r="C70" s="8" t="s">
        <v>323</v>
      </c>
      <c r="D70" s="17" t="s">
        <v>324</v>
      </c>
      <c r="E70" s="10" t="s">
        <v>13</v>
      </c>
      <c r="F70" s="17" t="s">
        <v>111</v>
      </c>
      <c r="G70" s="11" t="s">
        <v>16</v>
      </c>
      <c r="H70" s="11" t="s">
        <v>16</v>
      </c>
      <c r="I70" s="16" t="str">
        <f>IFERROR(__xludf.DUMMYFUNCTION("IFERROR(INDEX(IMPORTXML(B70,""//h2[@id='caracteristicas']/following-sibling::div/p""),1),""Not Found"")")," Mede cerca de 33 cm de comprimento e pesa por volta de 170 g. O macho 
apresenta ")</f>
        <v> Mede cerca de 33 cm de comprimento e pesa por volta de 170 g. O macho 
apresenta </v>
      </c>
      <c r="J70" s="16" t="str">
        <f>IFERROR(__xludf.DUMMYFUNCTION("""COMPUTED_VALUE"""),"cabeça, garganta e peito")</f>
        <v>cabeça, garganta e peito</v>
      </c>
      <c r="K70" s="16" t="str">
        <f>IFERROR(__xludf.DUMMYFUNCTION("""COMPUTED_VALUE""")," pretos, os quais são marrons na fêmea. Tem de três a cinco riscos 
transversais no bico, que variam de formato de indivíduo para indivíduo. 
Tem um tufo de penas pós-oculares de cor amarelo-ouro. Possui uma grande 
mancha escura na íris, anterior e poste"&amp;"rior à pupila, comum ao gênero 
Selenidera. ")</f>
        <v> pretos, os quais são marrons na fêmea. Tem de três a cinco riscos 
transversais no bico, que variam de formato de indivíduo para indivíduo. 
Tem um tufo de penas pós-oculares de cor amarelo-ouro. Possui uma grande 
mancha escura na íris, anterior e posterior à pupila, comum ao gênero 
Selenidera. </v>
      </c>
      <c r="L70" s="16"/>
      <c r="M70" s="16"/>
      <c r="N70" s="16"/>
      <c r="O70" s="16"/>
    </row>
    <row r="71" ht="15.75" customHeight="1">
      <c r="A71" s="6" t="s">
        <v>325</v>
      </c>
      <c r="B71" s="8" t="s">
        <v>326</v>
      </c>
      <c r="C71" s="8" t="s">
        <v>327</v>
      </c>
      <c r="D71" s="17" t="s">
        <v>328</v>
      </c>
      <c r="E71" s="10" t="s">
        <v>13</v>
      </c>
      <c r="F71" s="17" t="s">
        <v>329</v>
      </c>
      <c r="G71" s="11" t="s">
        <v>15</v>
      </c>
      <c r="H71" s="11" t="s">
        <v>15</v>
      </c>
      <c r="I71" s="16" t="str">
        <f>IFERROR(__xludf.DUMMYFUNCTION("IFERROR(INDEX(IMPORTXML(B71,""//h2[@id='caracteristicas']/following-sibling::div/p""),1),""Not Found"")")," Tem cerca de 42 a 48 centímetros, boa parte correspondem ao ")</f>
        <v> Tem cerca de 42 a 48 centímetros, boa parte correspondem ao </v>
      </c>
      <c r="J71" s="16" t="str">
        <f>IFERROR(__xludf.DUMMYFUNCTION("""COMPUTED_VALUE"""),"bico")</f>
        <v>bico</v>
      </c>
      <c r="K71" s="16" t="str">
        <f>IFERROR(__xludf.DUMMYFUNCTION("""COMPUTED_VALUE"""),". Pesa em torno de 265 g a 400 g. Apresenta papo amarelo e bico verde. O 
serrilhado do bico é bem desenvolvido e realçados pela cor vermelha 
sangüínea. É o único ")</f>
        <v>. Pesa em torno de 265 g a 400 g. Apresenta papo amarelo e bico verde. O 
serrilhado do bico é bem desenvolvido e realçados pela cor vermelha 
sangüínea. É o único </v>
      </c>
      <c r="L71" s="16" t="str">
        <f>IFERROR(__xludf.DUMMYFUNCTION("""COMPUTED_VALUE"""),"Ramphastos")</f>
        <v>Ramphastos</v>
      </c>
      <c r="M71" s="16" t="str">
        <f>IFERROR(__xludf.DUMMYFUNCTION("""COMPUTED_VALUE""")," a apresentar um ângulo acentuado na base da mandíbula inferior. ")</f>
        <v> a apresentar um ângulo acentuado na base da mandíbula inferior. </v>
      </c>
      <c r="N71" s="16"/>
      <c r="O71" s="16"/>
      <c r="P71" s="16"/>
      <c r="Q71" s="16"/>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ref="B2"/>
    <hyperlink r:id="rId3" ref="C2"/>
    <hyperlink r:id="rId4" ref="A3"/>
    <hyperlink r:id="rId5" ref="B3"/>
    <hyperlink r:id="rId6" ref="C3"/>
    <hyperlink r:id="rId7" ref="A4"/>
    <hyperlink r:id="rId8" ref="B4"/>
    <hyperlink r:id="rId9" ref="C4"/>
    <hyperlink r:id="rId10" ref="A5"/>
    <hyperlink r:id="rId11" ref="B5"/>
    <hyperlink r:id="rId12" ref="C5"/>
    <hyperlink r:id="rId13" ref="A6"/>
    <hyperlink r:id="rId14" ref="B6"/>
    <hyperlink r:id="rId15" ref="C6"/>
    <hyperlink r:id="rId16" ref="A7"/>
    <hyperlink r:id="rId17" ref="B7"/>
    <hyperlink r:id="rId18" ref="C7"/>
    <hyperlink r:id="rId19" ref="A8"/>
    <hyperlink r:id="rId20" ref="B8"/>
    <hyperlink r:id="rId21" ref="C8"/>
    <hyperlink r:id="rId22" ref="B9"/>
    <hyperlink r:id="rId23" ref="C9"/>
    <hyperlink r:id="rId24" ref="A10"/>
    <hyperlink r:id="rId25" ref="B10"/>
    <hyperlink r:id="rId26" ref="C10"/>
    <hyperlink r:id="rId27" ref="A11"/>
    <hyperlink r:id="rId28" ref="B11"/>
    <hyperlink r:id="rId29" ref="C11"/>
    <hyperlink r:id="rId30" ref="A12"/>
    <hyperlink r:id="rId31" ref="B12"/>
    <hyperlink r:id="rId32" ref="C12"/>
    <hyperlink r:id="rId33" ref="A13"/>
    <hyperlink r:id="rId34" ref="B13"/>
    <hyperlink r:id="rId35" ref="C13"/>
    <hyperlink r:id="rId36" ref="A14"/>
    <hyperlink r:id="rId37" ref="B14"/>
    <hyperlink r:id="rId38" ref="C14"/>
    <hyperlink r:id="rId39" ref="A15"/>
    <hyperlink r:id="rId40" ref="B15"/>
    <hyperlink r:id="rId41" ref="C15"/>
    <hyperlink r:id="rId42" ref="A16"/>
    <hyperlink r:id="rId43" ref="B16"/>
    <hyperlink r:id="rId44" ref="C16"/>
    <hyperlink r:id="rId45" ref="A17"/>
    <hyperlink r:id="rId46" ref="B17"/>
    <hyperlink r:id="rId47" ref="C17"/>
    <hyperlink r:id="rId48" ref="A18"/>
    <hyperlink r:id="rId49" ref="B18"/>
    <hyperlink r:id="rId50" ref="C18"/>
    <hyperlink r:id="rId51" ref="A19"/>
    <hyperlink r:id="rId52" ref="B19"/>
    <hyperlink r:id="rId53" ref="C19"/>
    <hyperlink r:id="rId54" ref="A20"/>
    <hyperlink r:id="rId55" ref="B20"/>
    <hyperlink r:id="rId56" ref="C20"/>
    <hyperlink r:id="rId57" ref="A21"/>
    <hyperlink r:id="rId58" ref="B21"/>
    <hyperlink r:id="rId59" ref="C21"/>
    <hyperlink r:id="rId60" ref="A22"/>
    <hyperlink r:id="rId61" ref="B22"/>
    <hyperlink r:id="rId62" ref="C22"/>
    <hyperlink r:id="rId63" ref="A23"/>
    <hyperlink r:id="rId64" ref="B23"/>
    <hyperlink r:id="rId65" ref="C23"/>
    <hyperlink r:id="rId66" ref="A24"/>
    <hyperlink r:id="rId67" ref="B24"/>
    <hyperlink r:id="rId68" ref="C24"/>
    <hyperlink r:id="rId69" ref="A25"/>
    <hyperlink r:id="rId70" ref="B25"/>
    <hyperlink r:id="rId71" ref="C25"/>
    <hyperlink r:id="rId72" ref="A26"/>
    <hyperlink r:id="rId73" ref="B26"/>
    <hyperlink r:id="rId74" ref="C26"/>
    <hyperlink r:id="rId75" ref="A27"/>
    <hyperlink r:id="rId76" ref="B27"/>
    <hyperlink r:id="rId77" ref="C27"/>
    <hyperlink r:id="rId78" ref="A28"/>
    <hyperlink r:id="rId79" ref="B28"/>
    <hyperlink r:id="rId80" ref="C28"/>
    <hyperlink r:id="rId81" ref="A29"/>
    <hyperlink r:id="rId82" ref="B29"/>
    <hyperlink r:id="rId83" ref="C29"/>
    <hyperlink r:id="rId84" ref="A30"/>
    <hyperlink r:id="rId85" ref="B30"/>
    <hyperlink r:id="rId86" ref="C30"/>
    <hyperlink r:id="rId87" ref="A31"/>
    <hyperlink r:id="rId88" ref="B31"/>
    <hyperlink r:id="rId89" ref="C31"/>
    <hyperlink r:id="rId90" ref="A32"/>
    <hyperlink r:id="rId91" ref="B32"/>
    <hyperlink r:id="rId92" ref="C32"/>
    <hyperlink r:id="rId93" ref="A33"/>
    <hyperlink r:id="rId94" ref="B33"/>
    <hyperlink r:id="rId95" ref="C33"/>
    <hyperlink r:id="rId96" ref="A34"/>
    <hyperlink r:id="rId97" ref="B34"/>
    <hyperlink r:id="rId98" ref="C34"/>
    <hyperlink r:id="rId99" ref="A35"/>
    <hyperlink r:id="rId100" ref="B35"/>
    <hyperlink r:id="rId101" ref="C35"/>
    <hyperlink r:id="rId102" ref="A36"/>
    <hyperlink r:id="rId103" ref="B36"/>
    <hyperlink r:id="rId104" ref="C36"/>
    <hyperlink r:id="rId105" ref="A37"/>
    <hyperlink r:id="rId106" ref="B37"/>
    <hyperlink r:id="rId107" ref="C37"/>
    <hyperlink r:id="rId108" ref="A38"/>
    <hyperlink r:id="rId109" ref="B38"/>
    <hyperlink r:id="rId110" ref="C38"/>
    <hyperlink r:id="rId111" ref="A39"/>
    <hyperlink r:id="rId112" ref="B39"/>
    <hyperlink r:id="rId113" ref="C39"/>
    <hyperlink r:id="rId114" ref="A40"/>
    <hyperlink r:id="rId115" ref="B40"/>
    <hyperlink r:id="rId116" ref="C40"/>
    <hyperlink r:id="rId117" ref="A41"/>
    <hyperlink r:id="rId118" ref="B41"/>
    <hyperlink r:id="rId119" ref="C41"/>
    <hyperlink r:id="rId120" ref="A42"/>
    <hyperlink r:id="rId121" ref="B42"/>
    <hyperlink r:id="rId122" ref="C42"/>
    <hyperlink r:id="rId123" ref="A43"/>
    <hyperlink r:id="rId124" ref="B43"/>
    <hyperlink r:id="rId125" ref="C43"/>
    <hyperlink r:id="rId126" ref="A44"/>
    <hyperlink r:id="rId127" ref="B44"/>
    <hyperlink r:id="rId128" ref="C44"/>
    <hyperlink r:id="rId129" ref="A45"/>
    <hyperlink r:id="rId130" ref="B45"/>
    <hyperlink r:id="rId131" ref="C45"/>
    <hyperlink r:id="rId132" ref="A46"/>
    <hyperlink r:id="rId133" ref="B46"/>
    <hyperlink r:id="rId134" ref="C46"/>
    <hyperlink r:id="rId135" ref="A47"/>
    <hyperlink r:id="rId136" ref="B47"/>
    <hyperlink r:id="rId137" ref="C47"/>
    <hyperlink r:id="rId138" ref="A48"/>
    <hyperlink r:id="rId139" ref="B48"/>
    <hyperlink r:id="rId140" ref="C48"/>
    <hyperlink r:id="rId141" ref="A49"/>
    <hyperlink r:id="rId142" ref="B49"/>
    <hyperlink r:id="rId143" ref="C49"/>
    <hyperlink r:id="rId144" ref="A50"/>
    <hyperlink r:id="rId145" ref="B50"/>
    <hyperlink r:id="rId146" ref="C50"/>
    <hyperlink r:id="rId147" ref="A51"/>
    <hyperlink r:id="rId148" ref="B51"/>
    <hyperlink r:id="rId149" ref="C51"/>
    <hyperlink r:id="rId150" ref="A52"/>
    <hyperlink r:id="rId151" ref="B52"/>
    <hyperlink r:id="rId152" ref="C52"/>
    <hyperlink r:id="rId153" ref="A53"/>
    <hyperlink r:id="rId154" ref="B53"/>
    <hyperlink r:id="rId155" ref="C53"/>
    <hyperlink r:id="rId156" ref="A54"/>
    <hyperlink r:id="rId157" ref="B54"/>
    <hyperlink r:id="rId158" ref="C54"/>
    <hyperlink r:id="rId159" ref="A55"/>
    <hyperlink r:id="rId160" ref="B55"/>
    <hyperlink r:id="rId161" ref="C55"/>
    <hyperlink r:id="rId162" ref="A56"/>
    <hyperlink r:id="rId163" ref="B56"/>
    <hyperlink r:id="rId164" ref="C56"/>
    <hyperlink r:id="rId165" ref="A57"/>
    <hyperlink r:id="rId166" ref="B57"/>
    <hyperlink r:id="rId167" ref="C57"/>
    <hyperlink r:id="rId168" ref="A58"/>
    <hyperlink r:id="rId169" ref="B58"/>
    <hyperlink r:id="rId170" ref="C58"/>
    <hyperlink r:id="rId171" ref="A59"/>
    <hyperlink r:id="rId172" ref="B59"/>
    <hyperlink r:id="rId173" ref="C59"/>
    <hyperlink r:id="rId174" ref="A60"/>
    <hyperlink r:id="rId175" ref="B60"/>
    <hyperlink r:id="rId176" ref="C60"/>
    <hyperlink r:id="rId177" ref="A61"/>
    <hyperlink r:id="rId178" ref="B61"/>
    <hyperlink r:id="rId179" ref="C61"/>
    <hyperlink r:id="rId180" ref="A62"/>
    <hyperlink r:id="rId181" ref="B62"/>
    <hyperlink r:id="rId182" ref="C62"/>
    <hyperlink r:id="rId183" ref="A63"/>
    <hyperlink r:id="rId184" ref="B63"/>
    <hyperlink r:id="rId185" ref="C63"/>
    <hyperlink r:id="rId186" ref="A64"/>
    <hyperlink r:id="rId187" ref="B64"/>
    <hyperlink r:id="rId188" ref="C64"/>
    <hyperlink r:id="rId189" ref="A65"/>
    <hyperlink r:id="rId190" ref="B65"/>
    <hyperlink r:id="rId191" ref="C65"/>
    <hyperlink r:id="rId192" ref="A66"/>
    <hyperlink r:id="rId193" ref="B66"/>
    <hyperlink r:id="rId194" ref="C66"/>
    <hyperlink r:id="rId195" ref="A67"/>
    <hyperlink r:id="rId196" ref="B67"/>
    <hyperlink r:id="rId197" ref="C67"/>
    <hyperlink r:id="rId198" ref="A68"/>
    <hyperlink r:id="rId199" ref="B68"/>
    <hyperlink r:id="rId200" ref="C68"/>
    <hyperlink r:id="rId201" location=":~:text=O%20topetinho%2Dverde%20%C3%A9%20um,verde%20iridescente%20atr%C3%A1s%20dos%20olhos." ref="A69"/>
    <hyperlink r:id="rId202" location=":~:text=O%20topetinho%2Dverde%20%C3%A9%20um,verde%20iridescente%20atr%C3%A1s%20dos%20olhos." ref="B69"/>
    <hyperlink r:id="rId203" ref="C69"/>
    <hyperlink r:id="rId204" ref="A70"/>
    <hyperlink r:id="rId205" ref="B70"/>
    <hyperlink r:id="rId206" ref="C70"/>
    <hyperlink r:id="rId207" ref="A71"/>
    <hyperlink r:id="rId208" ref="B71"/>
    <hyperlink r:id="rId209" ref="C71"/>
  </hyperlinks>
  <printOptions/>
  <pageMargins bottom="0.787401575" footer="0.0" header="0.0" left="0.511811024" right="0.511811024" top="0.787401575"/>
  <pageSetup orientation="landscape"/>
  <drawing r:id="rId21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2024-11-24T15:02:39Z</dcterms:created>
  <dc:creator>Barbara Marie van Sebroeck Martins</dc:creator>
</cp:coreProperties>
</file>